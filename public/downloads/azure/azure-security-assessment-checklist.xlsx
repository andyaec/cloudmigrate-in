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ols" sheetId="3" state="visible" r:id="rId3"/>
  </sheets>
  <definedNames>
    <definedName name="_xlnm._FilterDatabase" localSheetId="2" hidden="1">'Controls'!$A$1:$L$42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Cloud Security Assessment Checklist — Azure</t>
        </is>
      </c>
    </row>
    <row r="4">
      <c r="B4" s="3" t="inlineStr">
        <is>
          <t>Microsoft Azure · v1.0 · generated 21 Oct 2026</t>
        </is>
      </c>
    </row>
    <row r="6">
      <c r="B6" s="4" t="inlineStr">
        <is>
          <t>Purpose</t>
        </is>
      </c>
      <c r="C6" s="5" t="inlineStr">
        <is>
          <t>Assess Azure posture against Microsoft Cloud Security Benchmark / CIS Microsoft Azure Foundations and Indian regulatory obligations.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Work area by area; record Result (Pass / Partial / Fail) and evidence for each control.</t>
        </is>
      </c>
    </row>
    <row r="14">
      <c r="C14" s="6" t="inlineStr">
        <is>
          <t>2. Severity reflects impact if the control fails; prioritise Critical and High fails.</t>
        </is>
      </c>
    </row>
    <row r="15">
      <c r="C15" s="6" t="inlineStr">
        <is>
          <t>3. The Regulation column shows the Indian obligation most affected — validate with your compliance team.</t>
        </is>
      </c>
    </row>
    <row r="16">
      <c r="C16" s="6" t="inlineStr">
        <is>
          <t>4. The Summary sheet tracks progress; export failing rows to your remediation tracker.</t>
        </is>
      </c>
    </row>
    <row r="18">
      <c r="B18" s="4" t="inlineStr">
        <is>
          <t>Reference</t>
        </is>
      </c>
      <c r="C18" s="7" t="inlineStr">
        <is>
          <t>Target regions: Central India (Pune), South India (Chennai), West India (Mumbai)</t>
        </is>
      </c>
    </row>
    <row r="19">
      <c r="C19" s="7" t="inlineStr">
        <is>
          <t>Landing zone: Azure Landing Zones (CAF) — management groups, Azure Policy</t>
        </is>
      </c>
    </row>
    <row r="20">
      <c r="C20" s="7" t="inlineStr">
        <is>
          <t>Security baseline: Microsoft Cloud Security Benchmark / CIS Microsoft Azure Foundations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Identity &amp; access</t>
        </is>
      </c>
      <c r="B2" s="10">
        <f>COUNTIF('Controls'!$B:$B,A2)</f>
        <v/>
      </c>
      <c r="C2" s="10">
        <f>COUNTIFS('Controls'!$B:$B,$A2,'Controls'!$H:$H,"Done")</f>
        <v/>
      </c>
      <c r="D2" s="10">
        <f>COUNTIFS('Controls'!$B:$B,$A2,'Controls'!$H:$H,"In progress")</f>
        <v/>
      </c>
      <c r="E2" s="10">
        <f>COUNTIFS('Controls'!$B:$B,$A2,'Controls'!$H:$H,"Blocked")</f>
        <v/>
      </c>
      <c r="F2" s="10">
        <f>COUNTIFS('Controls'!$B:$B,$A2,'Controls'!$H:$H,"Not started")</f>
        <v/>
      </c>
      <c r="G2" s="10">
        <f>COUNTIFS('Controls'!$B:$B,$A2,'Controls'!$H:$H,"N/A")</f>
        <v/>
      </c>
      <c r="H2" s="11">
        <f>IFERROR(C2/(B2-G2),0)</f>
        <v/>
      </c>
    </row>
    <row r="3">
      <c r="A3" s="10" t="inlineStr">
        <is>
          <t>Logging &amp; monitoring</t>
        </is>
      </c>
      <c r="B3" s="10">
        <f>COUNTIF('Controls'!$B:$B,A3)</f>
        <v/>
      </c>
      <c r="C3" s="10">
        <f>COUNTIFS('Controls'!$B:$B,$A3,'Controls'!$H:$H,"Done")</f>
        <v/>
      </c>
      <c r="D3" s="10">
        <f>COUNTIFS('Controls'!$B:$B,$A3,'Controls'!$H:$H,"In progress")</f>
        <v/>
      </c>
      <c r="E3" s="10">
        <f>COUNTIFS('Controls'!$B:$B,$A3,'Controls'!$H:$H,"Blocked")</f>
        <v/>
      </c>
      <c r="F3" s="10">
        <f>COUNTIFS('Controls'!$B:$B,$A3,'Controls'!$H:$H,"Not started")</f>
        <v/>
      </c>
      <c r="G3" s="10">
        <f>COUNTIFS('Controls'!$B:$B,$A3,'Controls'!$H:$H,"N/A")</f>
        <v/>
      </c>
      <c r="H3" s="11">
        <f>IFERROR(C3/(B3-G3),0)</f>
        <v/>
      </c>
    </row>
    <row r="4">
      <c r="A4" s="10" t="inlineStr">
        <is>
          <t>Data protection</t>
        </is>
      </c>
      <c r="B4" s="10">
        <f>COUNTIF('Controls'!$B:$B,A4)</f>
        <v/>
      </c>
      <c r="C4" s="10">
        <f>COUNTIFS('Controls'!$B:$B,$A4,'Controls'!$H:$H,"Done")</f>
        <v/>
      </c>
      <c r="D4" s="10">
        <f>COUNTIFS('Controls'!$B:$B,$A4,'Controls'!$H:$H,"In progress")</f>
        <v/>
      </c>
      <c r="E4" s="10">
        <f>COUNTIFS('Controls'!$B:$B,$A4,'Controls'!$H:$H,"Blocked")</f>
        <v/>
      </c>
      <c r="F4" s="10">
        <f>COUNTIFS('Controls'!$B:$B,$A4,'Controls'!$H:$H,"Not started")</f>
        <v/>
      </c>
      <c r="G4" s="10">
        <f>COUNTIFS('Controls'!$B:$B,$A4,'Controls'!$H:$H,"N/A")</f>
        <v/>
      </c>
      <c r="H4" s="11">
        <f>IFERROR(C4/(B4-G4),0)</f>
        <v/>
      </c>
    </row>
    <row r="5">
      <c r="A5" s="10" t="inlineStr">
        <is>
          <t>Network security</t>
        </is>
      </c>
      <c r="B5" s="10">
        <f>COUNTIF('Controls'!$B:$B,A5)</f>
        <v/>
      </c>
      <c r="C5" s="10">
        <f>COUNTIFS('Controls'!$B:$B,$A5,'Controls'!$H:$H,"Done")</f>
        <v/>
      </c>
      <c r="D5" s="10">
        <f>COUNTIFS('Controls'!$B:$B,$A5,'Controls'!$H:$H,"In progress")</f>
        <v/>
      </c>
      <c r="E5" s="10">
        <f>COUNTIFS('Controls'!$B:$B,$A5,'Controls'!$H:$H,"Blocked")</f>
        <v/>
      </c>
      <c r="F5" s="10">
        <f>COUNTIFS('Controls'!$B:$B,$A5,'Controls'!$H:$H,"Not started")</f>
        <v/>
      </c>
      <c r="G5" s="10">
        <f>COUNTIFS('Controls'!$B:$B,$A5,'Controls'!$H:$H,"N/A")</f>
        <v/>
      </c>
      <c r="H5" s="11">
        <f>IFERROR(C5/(B5-G5),0)</f>
        <v/>
      </c>
    </row>
    <row r="6">
      <c r="A6" s="10" t="inlineStr">
        <is>
          <t>Workload security</t>
        </is>
      </c>
      <c r="B6" s="10">
        <f>COUNTIF('Controls'!$B:$B,A6)</f>
        <v/>
      </c>
      <c r="C6" s="10">
        <f>COUNTIFS('Controls'!$B:$B,$A6,'Controls'!$H:$H,"Done")</f>
        <v/>
      </c>
      <c r="D6" s="10">
        <f>COUNTIFS('Controls'!$B:$B,$A6,'Controls'!$H:$H,"In progress")</f>
        <v/>
      </c>
      <c r="E6" s="10">
        <f>COUNTIFS('Controls'!$B:$B,$A6,'Controls'!$H:$H,"Blocked")</f>
        <v/>
      </c>
      <c r="F6" s="10">
        <f>COUNTIFS('Controls'!$B:$B,$A6,'Controls'!$H:$H,"Not started")</f>
        <v/>
      </c>
      <c r="G6" s="10">
        <f>COUNTIFS('Controls'!$B:$B,$A6,'Controls'!$H:$H,"N/A")</f>
        <v/>
      </c>
      <c r="H6" s="11">
        <f>IFERROR(C6/(B6-G6),0)</f>
        <v/>
      </c>
    </row>
    <row r="7">
      <c r="A7" s="10" t="inlineStr">
        <is>
          <t>Resilience</t>
        </is>
      </c>
      <c r="B7" s="10">
        <f>COUNTIF('Controls'!$B:$B,A7)</f>
        <v/>
      </c>
      <c r="C7" s="10">
        <f>COUNTIFS('Controls'!$B:$B,$A7,'Controls'!$H:$H,"Done")</f>
        <v/>
      </c>
      <c r="D7" s="10">
        <f>COUNTIFS('Controls'!$B:$B,$A7,'Controls'!$H:$H,"In progress")</f>
        <v/>
      </c>
      <c r="E7" s="10">
        <f>COUNTIFS('Controls'!$B:$B,$A7,'Controls'!$H:$H,"Blocked")</f>
        <v/>
      </c>
      <c r="F7" s="10">
        <f>COUNTIFS('Controls'!$B:$B,$A7,'Controls'!$H:$H,"Not started")</f>
        <v/>
      </c>
      <c r="G7" s="10">
        <f>COUNTIFS('Controls'!$B:$B,$A7,'Controls'!$H:$H,"N/A")</f>
        <v/>
      </c>
      <c r="H7" s="11">
        <f>IFERROR(C7/(B7-G7),0)</f>
        <v/>
      </c>
    </row>
    <row r="8">
      <c r="A8" s="10" t="inlineStr">
        <is>
          <t>Governance</t>
        </is>
      </c>
      <c r="B8" s="10">
        <f>COUNTIF('Controls'!$B:$B,A8)</f>
        <v/>
      </c>
      <c r="C8" s="10">
        <f>COUNTIFS('Controls'!$B:$B,$A8,'Controls'!$H:$H,"Done")</f>
        <v/>
      </c>
      <c r="D8" s="10">
        <f>COUNTIFS('Controls'!$B:$B,$A8,'Controls'!$H:$H,"In progress")</f>
        <v/>
      </c>
      <c r="E8" s="10">
        <f>COUNTIFS('Controls'!$B:$B,$A8,'Controls'!$H:$H,"Blocked")</f>
        <v/>
      </c>
      <c r="F8" s="10">
        <f>COUNTIFS('Controls'!$B:$B,$A8,'Controls'!$H:$H,"Not started")</f>
        <v/>
      </c>
      <c r="G8" s="10">
        <f>COUNTIFS('Controls'!$B:$B,$A8,'Controls'!$H:$H,"N/A")</f>
        <v/>
      </c>
      <c r="H8" s="11">
        <f>IFERROR(C8/(B8-G8),0)</f>
        <v/>
      </c>
    </row>
    <row r="9">
      <c r="A9" s="10" t="inlineStr">
        <is>
          <t>Incident response</t>
        </is>
      </c>
      <c r="B9" s="10">
        <f>COUNTIF('Controls'!$B:$B,A9)</f>
        <v/>
      </c>
      <c r="C9" s="10">
        <f>COUNTIFS('Controls'!$B:$B,$A9,'Controls'!$H:$H,"Done")</f>
        <v/>
      </c>
      <c r="D9" s="10">
        <f>COUNTIFS('Controls'!$B:$B,$A9,'Controls'!$H:$H,"In progress")</f>
        <v/>
      </c>
      <c r="E9" s="10">
        <f>COUNTIFS('Controls'!$B:$B,$A9,'Controls'!$H:$H,"Blocked")</f>
        <v/>
      </c>
      <c r="F9" s="10">
        <f>COUNTIFS('Controls'!$B:$B,$A9,'Controls'!$H:$H,"Not started")</f>
        <v/>
      </c>
      <c r="G9" s="10">
        <f>COUNTIFS('Controls'!$B:$B,$A9,'Controls'!$H:$H,"N/A")</f>
        <v/>
      </c>
      <c r="H9" s="11">
        <f>IFERROR(C9/(B9-G9),0)</f>
        <v/>
      </c>
    </row>
    <row r="10">
      <c r="A10" s="12" t="inlineStr">
        <is>
          <t>Total</t>
        </is>
      </c>
      <c r="B10" s="12">
        <f>SUM(B2:B9)</f>
        <v/>
      </c>
      <c r="C10" s="12">
        <f>SUM(C2:C9)</f>
        <v/>
      </c>
      <c r="D10" s="12">
        <f>SUM(D2:D9)</f>
        <v/>
      </c>
      <c r="E10" s="12">
        <f>SUM(E2:E9)</f>
        <v/>
      </c>
      <c r="F10" s="12">
        <f>SUM(F2:F9)</f>
        <v/>
      </c>
      <c r="G10" s="12">
        <f>SUM(G2:G9)</f>
        <v/>
      </c>
      <c r="H10" s="13">
        <f>IFERROR(C10/(B10-G10),0)</f>
        <v/>
      </c>
    </row>
    <row r="12">
      <c r="A12" s="14" t="inlineStr">
        <is>
          <t>Go-live readiness rule: all Critical items Done or N/A, no Blocked items, ≥ 90% overall.</t>
        </is>
      </c>
    </row>
    <row r="13">
      <c r="A13" t="inlineStr">
        <is>
          <t>Critical items not yet Done</t>
        </is>
      </c>
      <c r="B13">
        <f>COUNTIFS('Controls'!$G:$G,"Critical",'Controls'!$H:$H,"&lt;&gt;Done",'Controls'!$H:$H,"&lt;&gt;N/A",'Controls'!$A:$A,"&lt;&gt;ID")</f>
        <v/>
      </c>
    </row>
  </sheetData>
  <conditionalFormatting sqref="H2:H10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8" customWidth="1" min="3" max="3"/>
    <col width="40" customWidth="1" min="4" max="4"/>
    <col width="16" customWidth="1" min="5" max="5"/>
    <col width="18" customWidth="1" min="6" max="6"/>
    <col width="11" customWidth="1" min="7" max="7"/>
    <col width="13" customWidth="1" min="8" max="8"/>
    <col width="11" customWidth="1" min="9" max="9"/>
    <col width="30" customWidth="1" min="10" max="10"/>
    <col width="14" customWidth="1" min="11" max="11"/>
    <col width="28" customWidth="1" min="12" max="12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Control</t>
        </is>
      </c>
      <c r="D1" s="15" t="inlineStr">
        <is>
          <t>Azure service / method</t>
        </is>
      </c>
      <c r="E1" s="15" t="inlineStr">
        <is>
          <t>Benchmark ref</t>
        </is>
      </c>
      <c r="F1" s="15" t="inlineStr">
        <is>
          <t>Regulation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Result</t>
        </is>
      </c>
      <c r="J1" s="15" t="inlineStr">
        <is>
          <t>Evidence</t>
        </is>
      </c>
      <c r="K1" s="15" t="inlineStr">
        <is>
          <t>Owner</t>
        </is>
      </c>
      <c r="L1" s="15" t="inlineStr">
        <is>
          <t>Remediation / due</t>
        </is>
      </c>
    </row>
    <row r="2">
      <c r="A2" s="16" t="inlineStr">
        <is>
          <t>SEC-001</t>
        </is>
      </c>
      <c r="B2" s="16" t="inlineStr">
        <is>
          <t>Identity &amp; access</t>
        </is>
      </c>
      <c r="C2" s="16" t="inlineStr">
        <is>
          <t>MFA enforced for all human administrators</t>
        </is>
      </c>
      <c r="D2" s="16" t="inlineStr">
        <is>
          <t>Microsoft Entra ID with Privileged Identity Management and Conditional Access</t>
        </is>
      </c>
      <c r="E2" s="16" t="inlineStr">
        <is>
          <t>MCSB / CIS Azure IAM</t>
        </is>
      </c>
      <c r="F2" s="16" t="inlineStr">
        <is>
          <t>DPDP s.8(5) safeguards</t>
        </is>
      </c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  <c r="L2" s="16" t="inlineStr"/>
    </row>
    <row r="3">
      <c r="A3" s="16" t="inlineStr">
        <is>
          <t>SEC-002</t>
        </is>
      </c>
      <c r="B3" s="16" t="inlineStr">
        <is>
          <t>Identity &amp; access</t>
        </is>
      </c>
      <c r="C3" s="16" t="inlineStr">
        <is>
          <t>No standing privileged access; just-in-time elevation</t>
        </is>
      </c>
      <c r="D3" s="16" t="inlineStr">
        <is>
          <t>Azure Lighthouse delegated access + PIM</t>
        </is>
      </c>
      <c r="E3" s="16" t="inlineStr">
        <is>
          <t>MCSB / CIS Azure IAM</t>
        </is>
      </c>
      <c r="F3" s="16" t="inlineStr">
        <is>
          <t>RBI cyber-resilience</t>
        </is>
      </c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  <c r="L3" s="16" t="inlineStr"/>
    </row>
    <row r="4">
      <c r="A4" s="16" t="inlineStr">
        <is>
          <t>SEC-003</t>
        </is>
      </c>
      <c r="B4" s="16" t="inlineStr">
        <is>
          <t>Identity &amp; access</t>
        </is>
      </c>
      <c r="C4" s="16" t="inlineStr">
        <is>
          <t>Root / global admin / super-admin accounts locked down and alerted</t>
        </is>
      </c>
      <c r="D4" s="16" t="inlineStr">
        <is>
          <t>Hardware MFA, no access keys, alert on use.</t>
        </is>
      </c>
      <c r="E4" s="16" t="inlineStr">
        <is>
          <t>MCSB / CIS Azure IAM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  <c r="L4" s="16" t="inlineStr"/>
    </row>
    <row r="5">
      <c r="A5" s="16" t="inlineStr">
        <is>
          <t>SEC-004</t>
        </is>
      </c>
      <c r="B5" s="16" t="inlineStr">
        <is>
          <t>Identity &amp; access</t>
        </is>
      </c>
      <c r="C5" s="16" t="inlineStr">
        <is>
          <t>Break-glass accounts documented and tested quarterly</t>
        </is>
      </c>
      <c r="D5" s="16" t="inlineStr"/>
      <c r="E5" s="16" t="inlineStr">
        <is>
          <t>MCSB / CIS Azure IAM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  <c r="L5" s="16" t="inlineStr"/>
    </row>
    <row r="6">
      <c r="A6" s="16" t="inlineStr">
        <is>
          <t>SEC-005</t>
        </is>
      </c>
      <c r="B6" s="16" t="inlineStr">
        <is>
          <t>Identity &amp; access</t>
        </is>
      </c>
      <c r="C6" s="16" t="inlineStr">
        <is>
          <t>Service identities use workload identity, not long-lived keys</t>
        </is>
      </c>
      <c r="D6" s="16" t="inlineStr">
        <is>
          <t>Rotate or remove keys older than 90 days.</t>
        </is>
      </c>
      <c r="E6" s="16" t="inlineStr">
        <is>
          <t>MCSB / CIS Azure IAM</t>
        </is>
      </c>
      <c r="F6" s="16" t="inlineStr"/>
      <c r="G6" s="16" t="inlineStr">
        <is>
          <t>High</t>
        </is>
      </c>
      <c r="H6" s="16" t="inlineStr">
        <is>
          <t>Not started</t>
        </is>
      </c>
      <c r="I6" s="16" t="inlineStr"/>
      <c r="J6" s="16" t="inlineStr"/>
      <c r="K6" s="16" t="inlineStr"/>
      <c r="L6" s="16" t="inlineStr"/>
    </row>
    <row r="7">
      <c r="A7" s="16" t="inlineStr">
        <is>
          <t>SEC-006</t>
        </is>
      </c>
      <c r="B7" s="16" t="inlineStr">
        <is>
          <t>Identity &amp; access</t>
        </is>
      </c>
      <c r="C7" s="16" t="inlineStr">
        <is>
          <t>Access reviews performed quarterly for privileged roles</t>
        </is>
      </c>
      <c r="D7" s="16" t="inlineStr"/>
      <c r="E7" s="16" t="inlineStr">
        <is>
          <t>ISO 27001 A.5.18</t>
        </is>
      </c>
      <c r="F7" s="16" t="inlineStr">
        <is>
          <t>SEBI cloud framework</t>
        </is>
      </c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  <c r="L7" s="16" t="inlineStr"/>
    </row>
    <row r="8">
      <c r="A8" s="16" t="inlineStr">
        <is>
          <t>SEC-007</t>
        </is>
      </c>
      <c r="B8" s="16" t="inlineStr">
        <is>
          <t>Identity &amp; access</t>
        </is>
      </c>
      <c r="C8" s="16" t="inlineStr">
        <is>
          <t>Guest / external identities reviewed and expired</t>
        </is>
      </c>
      <c r="D8" s="16" t="inlineStr"/>
      <c r="E8" s="16" t="inlineStr">
        <is>
          <t>MCSB / CIS Azure IAM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  <c r="L8" s="16" t="inlineStr"/>
    </row>
    <row r="9">
      <c r="A9" s="16" t="inlineStr">
        <is>
          <t>SEC-008</t>
        </is>
      </c>
      <c r="B9" s="16" t="inlineStr">
        <is>
          <t>Logging &amp; monitoring</t>
        </is>
      </c>
      <c r="C9" s="16" t="inlineStr">
        <is>
          <t>Control-plane audit logs enabled organisation-wide</t>
        </is>
      </c>
      <c r="D9" s="16" t="inlineStr">
        <is>
          <t>Diagnostic settings to a central Log Analytics workspace; Activity Log export</t>
        </is>
      </c>
      <c r="E9" s="16" t="inlineStr">
        <is>
          <t>MCSB / CIS Azure Logging</t>
        </is>
      </c>
      <c r="F9" s="16" t="inlineStr">
        <is>
          <t>CERT-In 2022</t>
        </is>
      </c>
      <c r="G9" s="16" t="inlineStr">
        <is>
          <t>Critical</t>
        </is>
      </c>
      <c r="H9" s="16" t="inlineStr">
        <is>
          <t>Not started</t>
        </is>
      </c>
      <c r="I9" s="16" t="inlineStr"/>
      <c r="J9" s="16" t="inlineStr"/>
      <c r="K9" s="16" t="inlineStr"/>
      <c r="L9" s="16" t="inlineStr"/>
    </row>
    <row r="10">
      <c r="A10" s="16" t="inlineStr">
        <is>
          <t>SEC-009</t>
        </is>
      </c>
      <c r="B10" s="16" t="inlineStr">
        <is>
          <t>Logging &amp; monitoring</t>
        </is>
      </c>
      <c r="C10" s="16" t="inlineStr">
        <is>
          <t>Logs retained ≥ 180 days in India and protected from deletion</t>
        </is>
      </c>
      <c r="D10" s="16" t="inlineStr">
        <is>
          <t>Diagnostic settings to a central Log Analytics workspace; Activity Log export</t>
        </is>
      </c>
      <c r="E10" s="16" t="inlineStr">
        <is>
          <t>MCSB / CIS Azure Logging</t>
        </is>
      </c>
      <c r="F10" s="16" t="inlineStr">
        <is>
          <t>CERT-In 2022</t>
        </is>
      </c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  <c r="L10" s="16" t="inlineStr"/>
    </row>
    <row r="11">
      <c r="A11" s="16" t="inlineStr">
        <is>
          <t>SEC-010</t>
        </is>
      </c>
      <c r="B11" s="16" t="inlineStr">
        <is>
          <t>Logging &amp; monitoring</t>
        </is>
      </c>
      <c r="C11" s="16" t="inlineStr">
        <is>
          <t>Time synchronisation to approved NTP sources</t>
        </is>
      </c>
      <c r="D11" s="16" t="inlineStr">
        <is>
          <t>CERT-In expects NIC / NPL NTP sync for ICT systems.</t>
        </is>
      </c>
      <c r="E11" s="16" t="inlineStr">
        <is>
          <t>CIS v8 8.4</t>
        </is>
      </c>
      <c r="F11" s="16" t="inlineStr">
        <is>
          <t>CERT-In 2022</t>
        </is>
      </c>
      <c r="G11" s="16" t="inlineStr">
        <is>
          <t>High</t>
        </is>
      </c>
      <c r="H11" s="16" t="inlineStr">
        <is>
          <t>Not started</t>
        </is>
      </c>
      <c r="I11" s="16" t="inlineStr"/>
      <c r="J11" s="16" t="inlineStr"/>
      <c r="K11" s="16" t="inlineStr"/>
      <c r="L11" s="16" t="inlineStr"/>
    </row>
    <row r="12">
      <c r="A12" s="16" t="inlineStr">
        <is>
          <t>SEC-011</t>
        </is>
      </c>
      <c r="B12" s="16" t="inlineStr">
        <is>
          <t>Logging &amp; monitoring</t>
        </is>
      </c>
      <c r="C12" s="16" t="inlineStr">
        <is>
          <t>Threat detection enabled in all regions and accounts</t>
        </is>
      </c>
      <c r="D12" s="16" t="inlineStr">
        <is>
          <t>Defender for Servers / SQL / Storage / Containers</t>
        </is>
      </c>
      <c r="E12" s="16" t="inlineStr">
        <is>
          <t>MCSB / CIS Azure Monitoring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  <c r="L12" s="16" t="inlineStr"/>
    </row>
    <row r="13">
      <c r="A13" s="16" t="inlineStr">
        <is>
          <t>SEC-012</t>
        </is>
      </c>
      <c r="B13" s="16" t="inlineStr">
        <is>
          <t>Logging &amp; monitoring</t>
        </is>
      </c>
      <c r="C13" s="16" t="inlineStr">
        <is>
          <t>Security posture management enabled with a tracked score</t>
        </is>
      </c>
      <c r="D13" s="16" t="inlineStr">
        <is>
          <t>Microsoft Defender for Cloud (Defender CSPM, Secure Score)</t>
        </is>
      </c>
      <c r="E13" s="16" t="inlineStr">
        <is>
          <t>MCSB / CIS Azure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  <c r="L13" s="16" t="inlineStr"/>
    </row>
    <row r="14">
      <c r="A14" s="16" t="inlineStr">
        <is>
          <t>SEC-013</t>
        </is>
      </c>
      <c r="B14" s="16" t="inlineStr">
        <is>
          <t>Logging &amp; monitoring</t>
        </is>
      </c>
      <c r="C14" s="16" t="inlineStr">
        <is>
          <t>SIEM ingests identity, control-plane, network and endpoint logs</t>
        </is>
      </c>
      <c r="D14" s="16" t="inlineStr">
        <is>
          <t>Microsoft Sentinel</t>
        </is>
      </c>
      <c r="E14" s="16" t="inlineStr">
        <is>
          <t>CIS v8 8.9</t>
        </is>
      </c>
      <c r="F14" s="16" t="inlineStr"/>
      <c r="G14" s="16" t="inlineStr">
        <is>
          <t>High</t>
        </is>
      </c>
      <c r="H14" s="16" t="inlineStr">
        <is>
          <t>Not started</t>
        </is>
      </c>
      <c r="I14" s="16" t="inlineStr"/>
      <c r="J14" s="16" t="inlineStr"/>
      <c r="K14" s="16" t="inlineStr"/>
      <c r="L14" s="16" t="inlineStr"/>
    </row>
    <row r="15">
      <c r="A15" s="16" t="inlineStr">
        <is>
          <t>SEC-014</t>
        </is>
      </c>
      <c r="B15" s="16" t="inlineStr">
        <is>
          <t>Logging &amp; monitoring</t>
        </is>
      </c>
      <c r="C15" s="16" t="inlineStr">
        <is>
          <t>Alerts for root / admin use, policy changes, key deletion</t>
        </is>
      </c>
      <c r="D15" s="16" t="inlineStr"/>
      <c r="E15" s="16" t="inlineStr">
        <is>
          <t>MCSB / CIS Azure Monitoring</t>
        </is>
      </c>
      <c r="F15" s="16" t="inlineStr"/>
      <c r="G15" s="16" t="inlineStr">
        <is>
          <t>High</t>
        </is>
      </c>
      <c r="H15" s="16" t="inlineStr">
        <is>
          <t>Not started</t>
        </is>
      </c>
      <c r="I15" s="16" t="inlineStr"/>
      <c r="J15" s="16" t="inlineStr"/>
      <c r="K15" s="16" t="inlineStr"/>
      <c r="L15" s="16" t="inlineStr"/>
    </row>
    <row r="16">
      <c r="A16" s="16" t="inlineStr">
        <is>
          <t>SEC-015</t>
        </is>
      </c>
      <c r="B16" s="16" t="inlineStr">
        <is>
          <t>Data protection</t>
        </is>
      </c>
      <c r="C16" s="16" t="inlineStr">
        <is>
          <t>Encryption at rest everywhere; customer-managed keys for regulated data</t>
        </is>
      </c>
      <c r="D16" s="16" t="inlineStr">
        <is>
          <t>Azure Key Vault / Managed HSM with customer-managed keys</t>
        </is>
      </c>
      <c r="E16" s="16" t="inlineStr">
        <is>
          <t>MCSB / CIS Azure Storage</t>
        </is>
      </c>
      <c r="F16" s="16" t="inlineStr">
        <is>
          <t>RBI / IRDAI</t>
        </is>
      </c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SEC-016</t>
        </is>
      </c>
      <c r="B17" s="16" t="inlineStr">
        <is>
          <t>Data protection</t>
        </is>
      </c>
      <c r="C17" s="16" t="inlineStr">
        <is>
          <t>Encryption in transit (TLS 1.2+) enforced</t>
        </is>
      </c>
      <c r="D17" s="16" t="inlineStr"/>
      <c r="E17" s="16" t="inlineStr">
        <is>
          <t>CIS v8 3.10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  <c r="L17" s="16" t="inlineStr"/>
    </row>
    <row r="18">
      <c r="A18" s="16" t="inlineStr">
        <is>
          <t>SEC-017</t>
        </is>
      </c>
      <c r="B18" s="16" t="inlineStr">
        <is>
          <t>Data protection</t>
        </is>
      </c>
      <c r="C18" s="16" t="inlineStr">
        <is>
          <t>No public object storage unless explicitly approved</t>
        </is>
      </c>
      <c r="D18" s="16" t="inlineStr"/>
      <c r="E18" s="16" t="inlineStr">
        <is>
          <t>MCSB / CIS Azure Storage</t>
        </is>
      </c>
      <c r="F18" s="16" t="inlineStr">
        <is>
          <t>DPDP</t>
        </is>
      </c>
      <c r="G18" s="16" t="inlineStr">
        <is>
          <t>Critical</t>
        </is>
      </c>
      <c r="H18" s="16" t="inlineStr">
        <is>
          <t>Not started</t>
        </is>
      </c>
      <c r="I18" s="16" t="inlineStr"/>
      <c r="J18" s="16" t="inlineStr"/>
      <c r="K18" s="16" t="inlineStr"/>
      <c r="L18" s="16" t="inlineStr"/>
    </row>
    <row r="19">
      <c r="A19" s="16" t="inlineStr">
        <is>
          <t>SEC-018</t>
        </is>
      </c>
      <c r="B19" s="16" t="inlineStr">
        <is>
          <t>Data protection</t>
        </is>
      </c>
      <c r="C19" s="16" t="inlineStr">
        <is>
          <t>Personal-data discovery and classification running</t>
        </is>
      </c>
      <c r="D19" s="16" t="inlineStr">
        <is>
          <t>Microsoft Purview sensitivity labels and DLP</t>
        </is>
      </c>
      <c r="E19" s="16" t="inlineStr">
        <is>
          <t>CIS v8 3.2</t>
        </is>
      </c>
      <c r="F19" s="16" t="inlineStr">
        <is>
          <t>DPDP</t>
        </is>
      </c>
      <c r="G19" s="16" t="inlineStr">
        <is>
          <t>High</t>
        </is>
      </c>
      <c r="H19" s="16" t="inlineStr">
        <is>
          <t>Not started</t>
        </is>
      </c>
      <c r="I19" s="16" t="inlineStr"/>
      <c r="J19" s="16" t="inlineStr"/>
      <c r="K19" s="16" t="inlineStr"/>
      <c r="L19" s="16" t="inlineStr"/>
    </row>
    <row r="20">
      <c r="A20" s="16" t="inlineStr">
        <is>
          <t>SEC-019</t>
        </is>
      </c>
      <c r="B20" s="16" t="inlineStr">
        <is>
          <t>Data protection</t>
        </is>
      </c>
      <c r="C20" s="16" t="inlineStr">
        <is>
          <t>Key rotation and separation of key administrators</t>
        </is>
      </c>
      <c r="D20" s="16" t="inlineStr">
        <is>
          <t>Azure Key Vault / Managed HSM with customer-managed keys</t>
        </is>
      </c>
      <c r="E20" s="16" t="inlineStr">
        <is>
          <t>MCSB / CIS Azure KMS</t>
        </is>
      </c>
      <c r="F20" s="16" t="inlineStr"/>
      <c r="G20" s="16" t="inlineStr">
        <is>
          <t>Medium</t>
        </is>
      </c>
      <c r="H20" s="16" t="inlineStr">
        <is>
          <t>Not started</t>
        </is>
      </c>
      <c r="I20" s="16" t="inlineStr"/>
      <c r="J20" s="16" t="inlineStr"/>
      <c r="K20" s="16" t="inlineStr"/>
      <c r="L20" s="16" t="inlineStr"/>
    </row>
    <row r="21">
      <c r="A21" s="16" t="inlineStr">
        <is>
          <t>SEC-020</t>
        </is>
      </c>
      <c r="B21" s="16" t="inlineStr">
        <is>
          <t>Data protection</t>
        </is>
      </c>
      <c r="C21" s="16" t="inlineStr">
        <is>
          <t>Non-production data masked or synthetic</t>
        </is>
      </c>
      <c r="D21" s="16" t="inlineStr"/>
      <c r="E21" s="16" t="inlineStr">
        <is>
          <t>ISO 27001 A.8.11</t>
        </is>
      </c>
      <c r="F21" s="16" t="inlineStr">
        <is>
          <t>DPDP</t>
        </is>
      </c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  <c r="L21" s="16" t="inlineStr"/>
    </row>
    <row r="22">
      <c r="A22" s="16" t="inlineStr">
        <is>
          <t>SEC-021</t>
        </is>
      </c>
      <c r="B22" s="16" t="inlineStr">
        <is>
          <t>Network security</t>
        </is>
      </c>
      <c r="C22" s="16" t="inlineStr">
        <is>
          <t>No management ports (22 / 3389) open to the internet</t>
        </is>
      </c>
      <c r="D22" s="16" t="inlineStr">
        <is>
          <t>Use bastion / session manager.</t>
        </is>
      </c>
      <c r="E22" s="16" t="inlineStr">
        <is>
          <t>MCSB / CIS Azure Networking</t>
        </is>
      </c>
      <c r="F22" s="16" t="inlineStr"/>
      <c r="G22" s="16" t="inlineStr">
        <is>
          <t>Critical</t>
        </is>
      </c>
      <c r="H22" s="16" t="inlineStr">
        <is>
          <t>Not started</t>
        </is>
      </c>
      <c r="I22" s="16" t="inlineStr"/>
      <c r="J22" s="16" t="inlineStr"/>
      <c r="K22" s="16" t="inlineStr"/>
      <c r="L22" s="16" t="inlineStr"/>
    </row>
    <row r="23">
      <c r="A23" s="16" t="inlineStr">
        <is>
          <t>SEC-022</t>
        </is>
      </c>
      <c r="B23" s="16" t="inlineStr">
        <is>
          <t>Network security</t>
        </is>
      </c>
      <c r="C23" s="16" t="inlineStr">
        <is>
          <t>Default-deny network policies and segmentation between tiers</t>
        </is>
      </c>
      <c r="D23" s="16" t="inlineStr">
        <is>
          <t>Hub-and-spoke or Virtual WAN with Azure Firewall</t>
        </is>
      </c>
      <c r="E23" s="16" t="inlineStr">
        <is>
          <t>MCSB / CIS Azure Networking</t>
        </is>
      </c>
      <c r="F23" s="16" t="inlineStr"/>
      <c r="G23" s="16" t="inlineStr">
        <is>
          <t>High</t>
        </is>
      </c>
      <c r="H23" s="16" t="inlineStr">
        <is>
          <t>Not started</t>
        </is>
      </c>
      <c r="I23" s="16" t="inlineStr"/>
      <c r="J23" s="16" t="inlineStr"/>
      <c r="K23" s="16" t="inlineStr"/>
      <c r="L23" s="16" t="inlineStr"/>
    </row>
    <row r="24">
      <c r="A24" s="16" t="inlineStr">
        <is>
          <t>SEC-023</t>
        </is>
      </c>
      <c r="B24" s="16" t="inlineStr">
        <is>
          <t>Network security</t>
        </is>
      </c>
      <c r="C24" s="16" t="inlineStr">
        <is>
          <t>WAF and DDoS protection on internet-facing applications</t>
        </is>
      </c>
      <c r="D24" s="16" t="inlineStr">
        <is>
          <t>Azure Front Door / Application Gateway WAF, DDoS Protection</t>
        </is>
      </c>
      <c r="E24" s="16" t="inlineStr">
        <is>
          <t>CIS v8 13.10</t>
        </is>
      </c>
      <c r="F24" s="16" t="inlineStr"/>
      <c r="G24" s="16" t="inlineStr">
        <is>
          <t>High</t>
        </is>
      </c>
      <c r="H24" s="16" t="inlineStr">
        <is>
          <t>Not started</t>
        </is>
      </c>
      <c r="I24" s="16" t="inlineStr"/>
      <c r="J24" s="16" t="inlineStr"/>
      <c r="K24" s="16" t="inlineStr"/>
      <c r="L24" s="16" t="inlineStr"/>
    </row>
    <row r="25">
      <c r="A25" s="16" t="inlineStr">
        <is>
          <t>SEC-024</t>
        </is>
      </c>
      <c r="B25" s="16" t="inlineStr">
        <is>
          <t>Network security</t>
        </is>
      </c>
      <c r="C25" s="16" t="inlineStr">
        <is>
          <t>Private endpoints for PaaS data services</t>
        </is>
      </c>
      <c r="D25" s="16" t="inlineStr"/>
      <c r="E25" s="16" t="inlineStr">
        <is>
          <t>MCSB / CIS Azure Networking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  <c r="L25" s="16" t="inlineStr"/>
    </row>
    <row r="26">
      <c r="A26" s="16" t="inlineStr">
        <is>
          <t>SEC-025</t>
        </is>
      </c>
      <c r="B26" s="16" t="inlineStr">
        <is>
          <t>Network security</t>
        </is>
      </c>
      <c r="C26" s="16" t="inlineStr">
        <is>
          <t>Egress filtered through central inspection</t>
        </is>
      </c>
      <c r="D26" s="16" t="inlineStr">
        <is>
          <t>Hub-and-spoke or Virtual WAN with Azure Firewall</t>
        </is>
      </c>
      <c r="E26" s="16" t="inlineStr">
        <is>
          <t>CIS v8 13</t>
        </is>
      </c>
      <c r="F26" s="16" t="inlineStr"/>
      <c r="G26" s="16" t="inlineStr">
        <is>
          <t>Medium</t>
        </is>
      </c>
      <c r="H26" s="16" t="inlineStr">
        <is>
          <t>Not started</t>
        </is>
      </c>
      <c r="I26" s="16" t="inlineStr"/>
      <c r="J26" s="16" t="inlineStr"/>
      <c r="K26" s="16" t="inlineStr"/>
      <c r="L26" s="16" t="inlineStr"/>
    </row>
    <row r="27">
      <c r="A27" s="16" t="inlineStr">
        <is>
          <t>SEC-026</t>
        </is>
      </c>
      <c r="B27" s="16" t="inlineStr">
        <is>
          <t>Network security</t>
        </is>
      </c>
      <c r="C27" s="16" t="inlineStr">
        <is>
          <t>Flow logs enabled on critical networks</t>
        </is>
      </c>
      <c r="D27" s="16" t="inlineStr"/>
      <c r="E27" s="16" t="inlineStr">
        <is>
          <t>MCSB / CIS Azure Logging</t>
        </is>
      </c>
      <c r="F27" s="16" t="inlineStr">
        <is>
          <t>CERT-In 2022</t>
        </is>
      </c>
      <c r="G27" s="16" t="inlineStr">
        <is>
          <t>Medium</t>
        </is>
      </c>
      <c r="H27" s="16" t="inlineStr">
        <is>
          <t>Not started</t>
        </is>
      </c>
      <c r="I27" s="16" t="inlineStr"/>
      <c r="J27" s="16" t="inlineStr"/>
      <c r="K27" s="16" t="inlineStr"/>
      <c r="L27" s="16" t="inlineStr"/>
    </row>
    <row r="28">
      <c r="A28" s="16" t="inlineStr">
        <is>
          <t>SEC-027</t>
        </is>
      </c>
      <c r="B28" s="16" t="inlineStr">
        <is>
          <t>Workload security</t>
        </is>
      </c>
      <c r="C28" s="16" t="inlineStr">
        <is>
          <t>Vulnerability scanning of hosts, containers and images</t>
        </is>
      </c>
      <c r="D28" s="16" t="inlineStr">
        <is>
          <t>Defender for Servers / SQL / Storage / Containers</t>
        </is>
      </c>
      <c r="E28" s="16" t="inlineStr">
        <is>
          <t>CIS v8 7</t>
        </is>
      </c>
      <c r="F28" s="16" t="inlineStr"/>
      <c r="G28" s="16" t="inlineStr">
        <is>
          <t>High</t>
        </is>
      </c>
      <c r="H28" s="16" t="inlineStr">
        <is>
          <t>Not started</t>
        </is>
      </c>
      <c r="I28" s="16" t="inlineStr"/>
      <c r="J28" s="16" t="inlineStr"/>
      <c r="K28" s="16" t="inlineStr"/>
      <c r="L28" s="16" t="inlineStr"/>
    </row>
    <row r="29">
      <c r="A29" s="16" t="inlineStr">
        <is>
          <t>SEC-028</t>
        </is>
      </c>
      <c r="B29" s="16" t="inlineStr">
        <is>
          <t>Workload security</t>
        </is>
      </c>
      <c r="C29" s="16" t="inlineStr">
        <is>
          <t>Critical patches applied within 14 days</t>
        </is>
      </c>
      <c r="D29" s="16" t="inlineStr">
        <is>
          <t>Azure Update Manager (Azure + Arc-enabled servers)</t>
        </is>
      </c>
      <c r="E29" s="16" t="inlineStr">
        <is>
          <t>CIS v8 7.3</t>
        </is>
      </c>
      <c r="F29" s="16" t="inlineStr">
        <is>
          <t>RBI</t>
        </is>
      </c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  <c r="L29" s="16" t="inlineStr"/>
    </row>
    <row r="30">
      <c r="A30" s="16" t="inlineStr">
        <is>
          <t>SEC-029</t>
        </is>
      </c>
      <c r="B30" s="16" t="inlineStr">
        <is>
          <t>Workload security</t>
        </is>
      </c>
      <c r="C30" s="16" t="inlineStr">
        <is>
          <t>Endpoint detection and response on all servers</t>
        </is>
      </c>
      <c r="D30" s="16" t="inlineStr">
        <is>
          <t>Defender for Servers / SQL / Storage / Containers</t>
        </is>
      </c>
      <c r="E30" s="16" t="inlineStr">
        <is>
          <t>CIS v8 10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  <c r="L30" s="16" t="inlineStr"/>
    </row>
    <row r="31">
      <c r="A31" s="16" t="inlineStr">
        <is>
          <t>SEC-030</t>
        </is>
      </c>
      <c r="B31" s="16" t="inlineStr">
        <is>
          <t>Workload security</t>
        </is>
      </c>
      <c r="C31" s="16" t="inlineStr">
        <is>
          <t>Hardened images (CIS level 1) used as baselines</t>
        </is>
      </c>
      <c r="D31" s="16" t="inlineStr"/>
      <c r="E31" s="16" t="inlineStr">
        <is>
          <t>CIS v8 4.1</t>
        </is>
      </c>
      <c r="F31" s="16" t="inlineStr"/>
      <c r="G31" s="16" t="inlineStr">
        <is>
          <t>Medium</t>
        </is>
      </c>
      <c r="H31" s="16" t="inlineStr">
        <is>
          <t>Not started</t>
        </is>
      </c>
      <c r="I31" s="16" t="inlineStr"/>
      <c r="J31" s="16" t="inlineStr"/>
      <c r="K31" s="16" t="inlineStr"/>
      <c r="L31" s="16" t="inlineStr"/>
    </row>
    <row r="32">
      <c r="A32" s="16" t="inlineStr">
        <is>
          <t>SEC-031</t>
        </is>
      </c>
      <c r="B32" s="16" t="inlineStr">
        <is>
          <t>Workload security</t>
        </is>
      </c>
      <c r="C32" s="16" t="inlineStr">
        <is>
          <t>Secrets stored in a vault, not code or config</t>
        </is>
      </c>
      <c r="D32" s="16" t="inlineStr">
        <is>
          <t>Azure Key Vault / Managed HSM with customer-managed keys</t>
        </is>
      </c>
      <c r="E32" s="16" t="inlineStr">
        <is>
          <t>CIS v8 3.11</t>
        </is>
      </c>
      <c r="F32" s="16" t="inlineStr"/>
      <c r="G32" s="16" t="inlineStr">
        <is>
          <t>High</t>
        </is>
      </c>
      <c r="H32" s="16" t="inlineStr">
        <is>
          <t>Not started</t>
        </is>
      </c>
      <c r="I32" s="16" t="inlineStr"/>
      <c r="J32" s="16" t="inlineStr"/>
      <c r="K32" s="16" t="inlineStr"/>
      <c r="L32" s="16" t="inlineStr"/>
    </row>
    <row r="33">
      <c r="A33" s="16" t="inlineStr">
        <is>
          <t>SEC-032</t>
        </is>
      </c>
      <c r="B33" s="16" t="inlineStr">
        <is>
          <t>Resilience</t>
        </is>
      </c>
      <c r="C33" s="16" t="inlineStr">
        <is>
          <t>Immutable / locked backups for tier-1 data</t>
        </is>
      </c>
      <c r="D33" s="16" t="inlineStr">
        <is>
          <t>Azure Backup with immutable vaults and soft delete</t>
        </is>
      </c>
      <c r="E33" s="16" t="inlineStr">
        <is>
          <t>CIS v8 11</t>
        </is>
      </c>
      <c r="F33" s="16" t="inlineStr">
        <is>
          <t>RBI</t>
        </is>
      </c>
      <c r="G33" s="16" t="inlineStr">
        <is>
          <t>Critical</t>
        </is>
      </c>
      <c r="H33" s="16" t="inlineStr">
        <is>
          <t>Not started</t>
        </is>
      </c>
      <c r="I33" s="16" t="inlineStr"/>
      <c r="J33" s="16" t="inlineStr"/>
      <c r="K33" s="16" t="inlineStr"/>
      <c r="L33" s="16" t="inlineStr"/>
    </row>
    <row r="34">
      <c r="A34" s="16" t="inlineStr">
        <is>
          <t>SEC-033</t>
        </is>
      </c>
      <c r="B34" s="16" t="inlineStr">
        <is>
          <t>Resilience</t>
        </is>
      </c>
      <c r="C34" s="16" t="inlineStr">
        <is>
          <t>Restore tests performed and documented</t>
        </is>
      </c>
      <c r="D34" s="16" t="inlineStr"/>
      <c r="E34" s="16" t="inlineStr">
        <is>
          <t>CIS v8 11.5</t>
        </is>
      </c>
      <c r="F34" s="16" t="inlineStr">
        <is>
          <t>SEBI</t>
        </is>
      </c>
      <c r="G34" s="16" t="inlineStr">
        <is>
          <t>High</t>
        </is>
      </c>
      <c r="H34" s="16" t="inlineStr">
        <is>
          <t>Not started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SEC-034</t>
        </is>
      </c>
      <c r="B35" s="16" t="inlineStr">
        <is>
          <t>Resilience</t>
        </is>
      </c>
      <c r="C35" s="16" t="inlineStr">
        <is>
          <t>DR plan tested within the last 12 months</t>
        </is>
      </c>
      <c r="D35" s="16" t="inlineStr">
        <is>
          <t>Azure Site Recovery / zone-redundant services</t>
        </is>
      </c>
      <c r="E35" s="16" t="inlineStr">
        <is>
          <t>ISO 27001 A.5.30</t>
        </is>
      </c>
      <c r="F35" s="16" t="inlineStr">
        <is>
          <t>RBI / SEBI</t>
        </is>
      </c>
      <c r="G35" s="16" t="inlineStr">
        <is>
          <t>High</t>
        </is>
      </c>
      <c r="H35" s="16" t="inlineStr">
        <is>
          <t>Not started</t>
        </is>
      </c>
      <c r="I35" s="16" t="inlineStr"/>
      <c r="J35" s="16" t="inlineStr"/>
      <c r="K35" s="16" t="inlineStr"/>
      <c r="L35" s="16" t="inlineStr"/>
    </row>
    <row r="36">
      <c r="A36" s="16" t="inlineStr">
        <is>
          <t>SEC-035</t>
        </is>
      </c>
      <c r="B36" s="16" t="inlineStr">
        <is>
          <t>Governance</t>
        </is>
      </c>
      <c r="C36" s="16" t="inlineStr">
        <is>
          <t>Guardrails / policies prevent non-compliant deployments</t>
        </is>
      </c>
      <c r="D36" s="16" t="inlineStr">
        <is>
          <t>Azure Landing Zones (CAF) — management groups, Azure Policy</t>
        </is>
      </c>
      <c r="E36" s="16" t="inlineStr">
        <is>
          <t>MCSB / CIS Azure</t>
        </is>
      </c>
      <c r="F36" s="16" t="inlineStr"/>
      <c r="G36" s="16" t="inlineStr">
        <is>
          <t>High</t>
        </is>
      </c>
      <c r="H36" s="16" t="inlineStr">
        <is>
          <t>Not started</t>
        </is>
      </c>
      <c r="I36" s="16" t="inlineStr"/>
      <c r="J36" s="16" t="inlineStr"/>
      <c r="K36" s="16" t="inlineStr"/>
      <c r="L36" s="16" t="inlineStr"/>
    </row>
    <row r="37">
      <c r="A37" s="16" t="inlineStr">
        <is>
          <t>SEC-036</t>
        </is>
      </c>
      <c r="B37" s="16" t="inlineStr">
        <is>
          <t>Governance</t>
        </is>
      </c>
      <c r="C37" s="16" t="inlineStr">
        <is>
          <t>Resources restricted to approved Indian regions where residency applies</t>
        </is>
      </c>
      <c r="D37" s="16" t="inlineStr">
        <is>
          <t>Central India (Pune), South India (Chennai), West India (Mumbai)</t>
        </is>
      </c>
      <c r="E37" s="16" t="inlineStr">
        <is>
          <t>MCSB / CIS Azure</t>
        </is>
      </c>
      <c r="F37" s="16" t="inlineStr">
        <is>
          <t>DPDP / sector rules</t>
        </is>
      </c>
      <c r="G37" s="16" t="inlineStr">
        <is>
          <t>High</t>
        </is>
      </c>
      <c r="H37" s="16" t="inlineStr">
        <is>
          <t>Not started</t>
        </is>
      </c>
      <c r="I37" s="16" t="inlineStr"/>
      <c r="J37" s="16" t="inlineStr"/>
      <c r="K37" s="16" t="inlineStr"/>
      <c r="L37" s="16" t="inlineStr"/>
    </row>
    <row r="38">
      <c r="A38" s="16" t="inlineStr">
        <is>
          <t>SEC-037</t>
        </is>
      </c>
      <c r="B38" s="16" t="inlineStr">
        <is>
          <t>Governance</t>
        </is>
      </c>
      <c r="C38" s="16" t="inlineStr">
        <is>
          <t>Asset inventory complete and owners assigned</t>
        </is>
      </c>
      <c r="D38" s="16" t="inlineStr"/>
      <c r="E38" s="16" t="inlineStr">
        <is>
          <t>CIS v8 1</t>
        </is>
      </c>
      <c r="F38" s="16" t="inlineStr"/>
      <c r="G38" s="16" t="inlineStr">
        <is>
          <t>Medium</t>
        </is>
      </c>
      <c r="H38" s="16" t="inlineStr">
        <is>
          <t>Not started</t>
        </is>
      </c>
      <c r="I38" s="16" t="inlineStr"/>
      <c r="J38" s="16" t="inlineStr"/>
      <c r="K38" s="16" t="inlineStr"/>
      <c r="L38" s="16" t="inlineStr"/>
    </row>
    <row r="39">
      <c r="A39" s="16" t="inlineStr">
        <is>
          <t>SEC-038</t>
        </is>
      </c>
      <c r="B39" s="16" t="inlineStr">
        <is>
          <t>Governance</t>
        </is>
      </c>
      <c r="C39" s="16" t="inlineStr">
        <is>
          <t>Third-party and support access logged and time-bound</t>
        </is>
      </c>
      <c r="D39" s="16" t="inlineStr"/>
      <c r="E39" s="16" t="inlineStr">
        <is>
          <t>ISO 27001 A.5.19</t>
        </is>
      </c>
      <c r="F39" s="16" t="inlineStr">
        <is>
          <t>RBI outsourcing</t>
        </is>
      </c>
      <c r="G39" s="16" t="inlineStr">
        <is>
          <t>High</t>
        </is>
      </c>
      <c r="H39" s="16" t="inlineStr">
        <is>
          <t>Not started</t>
        </is>
      </c>
      <c r="I39" s="16" t="inlineStr"/>
      <c r="J39" s="16" t="inlineStr"/>
      <c r="K39" s="16" t="inlineStr"/>
      <c r="L39" s="16" t="inlineStr"/>
    </row>
    <row r="40">
      <c r="A40" s="16" t="inlineStr">
        <is>
          <t>SEC-039</t>
        </is>
      </c>
      <c r="B40" s="16" t="inlineStr">
        <is>
          <t>Incident response</t>
        </is>
      </c>
      <c r="C40" s="16" t="inlineStr">
        <is>
          <t>Cloud IR playbooks for credential compromise, data exposure, ransomware</t>
        </is>
      </c>
      <c r="D40" s="16" t="inlineStr"/>
      <c r="E40" s="16" t="inlineStr">
        <is>
          <t>CIS v8 17</t>
        </is>
      </c>
      <c r="F40" s="16" t="inlineStr">
        <is>
          <t>CERT-In 2022</t>
        </is>
      </c>
      <c r="G40" s="16" t="inlineStr">
        <is>
          <t>High</t>
        </is>
      </c>
      <c r="H40" s="16" t="inlineStr">
        <is>
          <t>Not started</t>
        </is>
      </c>
      <c r="I40" s="16" t="inlineStr"/>
      <c r="J40" s="16" t="inlineStr"/>
      <c r="K40" s="16" t="inlineStr"/>
      <c r="L40" s="16" t="inlineStr"/>
    </row>
    <row r="41">
      <c r="A41" s="16" t="inlineStr">
        <is>
          <t>SEC-040</t>
        </is>
      </c>
      <c r="B41" s="16" t="inlineStr">
        <is>
          <t>Incident response</t>
        </is>
      </c>
      <c r="C41" s="16" t="inlineStr">
        <is>
          <t>Ability to report to CERT-In within 6 hours demonstrated</t>
        </is>
      </c>
      <c r="D41" s="16" t="inlineStr">
        <is>
          <t>Contacts, templates, evidence capture.</t>
        </is>
      </c>
      <c r="E41" s="16" t="inlineStr"/>
      <c r="F41" s="16" t="inlineStr">
        <is>
          <t>CERT-In 2022</t>
        </is>
      </c>
      <c r="G41" s="16" t="inlineStr">
        <is>
          <t>Critical</t>
        </is>
      </c>
      <c r="H41" s="16" t="inlineStr">
        <is>
          <t>Not started</t>
        </is>
      </c>
      <c r="I41" s="16" t="inlineStr"/>
      <c r="J41" s="16" t="inlineStr"/>
      <c r="K41" s="16" t="inlineStr"/>
      <c r="L41" s="16" t="inlineStr"/>
    </row>
    <row r="42">
      <c r="A42" s="16" t="inlineStr">
        <is>
          <t>SEC-041</t>
        </is>
      </c>
      <c r="B42" s="16" t="inlineStr">
        <is>
          <t>Incident response</t>
        </is>
      </c>
      <c r="C42" s="16" t="inlineStr">
        <is>
          <t>DPDP breach notification workflow to the Board and data principals</t>
        </is>
      </c>
      <c r="D42" s="16" t="inlineStr"/>
      <c r="E42" s="16" t="inlineStr"/>
      <c r="F42" s="16" t="inlineStr">
        <is>
          <t>DPDP Act / Rules</t>
        </is>
      </c>
      <c r="G42" s="16" t="inlineStr">
        <is>
          <t>High</t>
        </is>
      </c>
      <c r="H42" s="16" t="inlineStr">
        <is>
          <t>Not started</t>
        </is>
      </c>
      <c r="I42" s="16" t="inlineStr"/>
      <c r="J42" s="16" t="inlineStr"/>
      <c r="K42" s="16" t="inlineStr"/>
      <c r="L42" s="16" t="inlineStr"/>
    </row>
  </sheetData>
  <autoFilter ref="A1:L42"/>
  <conditionalFormatting sqref="H2:H242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42">
    <cfRule type="cellIs" priority="4" operator="equal" dxfId="3">
      <formula>"Critical"</formula>
    </cfRule>
  </conditionalFormatting>
  <conditionalFormatting sqref="I2:I500">
    <cfRule type="cellIs" priority="5" operator="equal" dxfId="1">
      <formula>"Fail"</formula>
    </cfRule>
    <cfRule type="cellIs" priority="6" operator="equal" dxfId="0">
      <formula>"Pass"</formula>
    </cfRule>
  </conditionalFormatting>
  <dataValidations count="3">
    <dataValidation sqref="H2:H242" showDropDown="0" showInputMessage="0" showErrorMessage="0" allowBlank="1" type="list">
      <formula1>"Not started,In progress,Done,Blocked,N/A"</formula1>
    </dataValidation>
    <dataValidation sqref="G2:G242" showDropDown="0" showInputMessage="0" showErrorMessage="0" allowBlank="1" type="list">
      <formula1>"Critical,High,Medium,Low"</formula1>
    </dataValidation>
    <dataValidation sqref="I2:I500" showDropDown="0" showInputMessage="0" showErrorMessage="0" allowBlank="1" type="list">
      <formula1>"Pass,Partial,Fail,Not assessed"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azure-security-assessment-checklist.xlsx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