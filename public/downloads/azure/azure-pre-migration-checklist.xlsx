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ecklist" sheetId="3" state="visible" r:id="rId3"/>
  </sheets>
  <definedNames>
    <definedName name="_xlnm._FilterDatabase" localSheetId="2" hidden="1">'Checklist'!$A$1:$K$56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Pre-Migration Checklist — Azure</t>
        </is>
      </c>
    </row>
    <row r="4">
      <c r="B4" s="3" t="inlineStr">
        <is>
          <t>Microsoft Azure · v1.0 · generated 21 Oct 2026</t>
        </is>
      </c>
    </row>
    <row r="6">
      <c r="B6" s="4" t="inlineStr">
        <is>
          <t>Purpose</t>
        </is>
      </c>
      <c r="C6" s="5" t="inlineStr">
        <is>
          <t>Readiness gate before each migration wave.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Copy the Checklist sheet once per wave (or filter by wave in the Wave column).</t>
        </is>
      </c>
    </row>
    <row r="14">
      <c r="C14" s="6" t="inlineStr">
        <is>
          <t>2. Assign an owner and due date to every item; set Status from the drop-down.</t>
        </is>
      </c>
    </row>
    <row r="15">
      <c r="C15" s="6" t="inlineStr">
        <is>
          <t>3. Attach evidence links in the Evidence column — auditors and funding reviewers will ask.</t>
        </is>
      </c>
    </row>
    <row r="16">
      <c r="C16" s="6" t="inlineStr">
        <is>
          <t>4. The Summary sheet calculates completion by area; go-live needs every Critical item Done or N/A.</t>
        </is>
      </c>
    </row>
    <row r="18">
      <c r="B18" s="4" t="inlineStr">
        <is>
          <t>Reference</t>
        </is>
      </c>
      <c r="C18" s="7" t="inlineStr">
        <is>
          <t>Target regions: Central India (Pune), South India (Chennai), West India (Mumbai)</t>
        </is>
      </c>
    </row>
    <row r="19">
      <c r="C19" s="7" t="inlineStr">
        <is>
          <t>Landing zone: Azure Landing Zones (CAF) — management groups, Azure Policy</t>
        </is>
      </c>
    </row>
    <row r="20">
      <c r="C20" s="7" t="inlineStr">
        <is>
          <t>Security baseline: Microsoft Cloud Security Benchmark / CIS Microsoft Azure Foundations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Governance &amp; commercials</t>
        </is>
      </c>
      <c r="B2" s="10">
        <f>COUNTIF('Checklist'!$B:$B,A2)</f>
        <v/>
      </c>
      <c r="C2" s="10">
        <f>COUNTIFS('Checklist'!$B:$B,$A2,'Checklist'!$H:$H,"Done")</f>
        <v/>
      </c>
      <c r="D2" s="10">
        <f>COUNTIFS('Checklist'!$B:$B,$A2,'Checklist'!$H:$H,"In progress")</f>
        <v/>
      </c>
      <c r="E2" s="10">
        <f>COUNTIFS('Checklist'!$B:$B,$A2,'Checklist'!$H:$H,"Blocked")</f>
        <v/>
      </c>
      <c r="F2" s="10">
        <f>COUNTIFS('Checklist'!$B:$B,$A2,'Checklist'!$H:$H,"Not started")</f>
        <v/>
      </c>
      <c r="G2" s="10">
        <f>COUNTIFS('Checklist'!$B:$B,$A2,'Checklist'!$H:$H,"N/A")</f>
        <v/>
      </c>
      <c r="H2" s="11">
        <f>IFERROR(C2/(B2-G2),0)</f>
        <v/>
      </c>
    </row>
    <row r="3">
      <c r="A3" s="10" t="inlineStr">
        <is>
          <t>Discovery &amp; assessment</t>
        </is>
      </c>
      <c r="B3" s="10">
        <f>COUNTIF('Checklist'!$B:$B,A3)</f>
        <v/>
      </c>
      <c r="C3" s="10">
        <f>COUNTIFS('Checklist'!$B:$B,$A3,'Checklist'!$H:$H,"Done")</f>
        <v/>
      </c>
      <c r="D3" s="10">
        <f>COUNTIFS('Checklist'!$B:$B,$A3,'Checklist'!$H:$H,"In progress")</f>
        <v/>
      </c>
      <c r="E3" s="10">
        <f>COUNTIFS('Checklist'!$B:$B,$A3,'Checklist'!$H:$H,"Blocked")</f>
        <v/>
      </c>
      <c r="F3" s="10">
        <f>COUNTIFS('Checklist'!$B:$B,$A3,'Checklist'!$H:$H,"Not started")</f>
        <v/>
      </c>
      <c r="G3" s="10">
        <f>COUNTIFS('Checklist'!$B:$B,$A3,'Checklist'!$H:$H,"N/A")</f>
        <v/>
      </c>
      <c r="H3" s="11">
        <f>IFERROR(C3/(B3-G3),0)</f>
        <v/>
      </c>
    </row>
    <row r="4">
      <c r="A4" s="10" t="inlineStr">
        <is>
          <t>Landing zone &amp; identity</t>
        </is>
      </c>
      <c r="B4" s="10">
        <f>COUNTIF('Checklist'!$B:$B,A4)</f>
        <v/>
      </c>
      <c r="C4" s="10">
        <f>COUNTIFS('Checklist'!$B:$B,$A4,'Checklist'!$H:$H,"Done")</f>
        <v/>
      </c>
      <c r="D4" s="10">
        <f>COUNTIFS('Checklist'!$B:$B,$A4,'Checklist'!$H:$H,"In progress")</f>
        <v/>
      </c>
      <c r="E4" s="10">
        <f>COUNTIFS('Checklist'!$B:$B,$A4,'Checklist'!$H:$H,"Blocked")</f>
        <v/>
      </c>
      <c r="F4" s="10">
        <f>COUNTIFS('Checklist'!$B:$B,$A4,'Checklist'!$H:$H,"Not started")</f>
        <v/>
      </c>
      <c r="G4" s="10">
        <f>COUNTIFS('Checklist'!$B:$B,$A4,'Checklist'!$H:$H,"N/A")</f>
        <v/>
      </c>
      <c r="H4" s="11">
        <f>IFERROR(C4/(B4-G4),0)</f>
        <v/>
      </c>
    </row>
    <row r="5">
      <c r="A5" s="10" t="inlineStr">
        <is>
          <t>Network &amp; connectivity</t>
        </is>
      </c>
      <c r="B5" s="10">
        <f>COUNTIF('Checklist'!$B:$B,A5)</f>
        <v/>
      </c>
      <c r="C5" s="10">
        <f>COUNTIFS('Checklist'!$B:$B,$A5,'Checklist'!$H:$H,"Done")</f>
        <v/>
      </c>
      <c r="D5" s="10">
        <f>COUNTIFS('Checklist'!$B:$B,$A5,'Checklist'!$H:$H,"In progress")</f>
        <v/>
      </c>
      <c r="E5" s="10">
        <f>COUNTIFS('Checklist'!$B:$B,$A5,'Checklist'!$H:$H,"Blocked")</f>
        <v/>
      </c>
      <c r="F5" s="10">
        <f>COUNTIFS('Checklist'!$B:$B,$A5,'Checklist'!$H:$H,"Not started")</f>
        <v/>
      </c>
      <c r="G5" s="10">
        <f>COUNTIFS('Checklist'!$B:$B,$A5,'Checklist'!$H:$H,"N/A")</f>
        <v/>
      </c>
      <c r="H5" s="11">
        <f>IFERROR(C5/(B5-G5),0)</f>
        <v/>
      </c>
    </row>
    <row r="6">
      <c r="A6" s="10" t="inlineStr">
        <is>
          <t>Security &amp; compliance</t>
        </is>
      </c>
      <c r="B6" s="10">
        <f>COUNTIF('Checklist'!$B:$B,A6)</f>
        <v/>
      </c>
      <c r="C6" s="10">
        <f>COUNTIFS('Checklist'!$B:$B,$A6,'Checklist'!$H:$H,"Done")</f>
        <v/>
      </c>
      <c r="D6" s="10">
        <f>COUNTIFS('Checklist'!$B:$B,$A6,'Checklist'!$H:$H,"In progress")</f>
        <v/>
      </c>
      <c r="E6" s="10">
        <f>COUNTIFS('Checklist'!$B:$B,$A6,'Checklist'!$H:$H,"Blocked")</f>
        <v/>
      </c>
      <c r="F6" s="10">
        <f>COUNTIFS('Checklist'!$B:$B,$A6,'Checklist'!$H:$H,"Not started")</f>
        <v/>
      </c>
      <c r="G6" s="10">
        <f>COUNTIFS('Checklist'!$B:$B,$A6,'Checklist'!$H:$H,"N/A")</f>
        <v/>
      </c>
      <c r="H6" s="11">
        <f>IFERROR(C6/(B6-G6),0)</f>
        <v/>
      </c>
    </row>
    <row r="7">
      <c r="A7" s="10" t="inlineStr">
        <is>
          <t>Data &amp; databases</t>
        </is>
      </c>
      <c r="B7" s="10">
        <f>COUNTIF('Checklist'!$B:$B,A7)</f>
        <v/>
      </c>
      <c r="C7" s="10">
        <f>COUNTIFS('Checklist'!$B:$B,$A7,'Checklist'!$H:$H,"Done")</f>
        <v/>
      </c>
      <c r="D7" s="10">
        <f>COUNTIFS('Checklist'!$B:$B,$A7,'Checklist'!$H:$H,"In progress")</f>
        <v/>
      </c>
      <c r="E7" s="10">
        <f>COUNTIFS('Checklist'!$B:$B,$A7,'Checklist'!$H:$H,"Blocked")</f>
        <v/>
      </c>
      <c r="F7" s="10">
        <f>COUNTIFS('Checklist'!$B:$B,$A7,'Checklist'!$H:$H,"Not started")</f>
        <v/>
      </c>
      <c r="G7" s="10">
        <f>COUNTIFS('Checklist'!$B:$B,$A7,'Checklist'!$H:$H,"N/A")</f>
        <v/>
      </c>
      <c r="H7" s="11">
        <f>IFERROR(C7/(B7-G7),0)</f>
        <v/>
      </c>
    </row>
    <row r="8">
      <c r="A8" s="10" t="inlineStr">
        <is>
          <t>Application readiness</t>
        </is>
      </c>
      <c r="B8" s="10">
        <f>COUNTIF('Checklist'!$B:$B,A8)</f>
        <v/>
      </c>
      <c r="C8" s="10">
        <f>COUNTIFS('Checklist'!$B:$B,$A8,'Checklist'!$H:$H,"Done")</f>
        <v/>
      </c>
      <c r="D8" s="10">
        <f>COUNTIFS('Checklist'!$B:$B,$A8,'Checklist'!$H:$H,"In progress")</f>
        <v/>
      </c>
      <c r="E8" s="10">
        <f>COUNTIFS('Checklist'!$B:$B,$A8,'Checklist'!$H:$H,"Blocked")</f>
        <v/>
      </c>
      <c r="F8" s="10">
        <f>COUNTIFS('Checklist'!$B:$B,$A8,'Checklist'!$H:$H,"Not started")</f>
        <v/>
      </c>
      <c r="G8" s="10">
        <f>COUNTIFS('Checklist'!$B:$B,$A8,'Checklist'!$H:$H,"N/A")</f>
        <v/>
      </c>
      <c r="H8" s="11">
        <f>IFERROR(C8/(B8-G8),0)</f>
        <v/>
      </c>
    </row>
    <row r="9">
      <c r="A9" s="10" t="inlineStr">
        <is>
          <t>Backup &amp; DR</t>
        </is>
      </c>
      <c r="B9" s="10">
        <f>COUNTIF('Checklist'!$B:$B,A9)</f>
        <v/>
      </c>
      <c r="C9" s="10">
        <f>COUNTIFS('Checklist'!$B:$B,$A9,'Checklist'!$H:$H,"Done")</f>
        <v/>
      </c>
      <c r="D9" s="10">
        <f>COUNTIFS('Checklist'!$B:$B,$A9,'Checklist'!$H:$H,"In progress")</f>
        <v/>
      </c>
      <c r="E9" s="10">
        <f>COUNTIFS('Checklist'!$B:$B,$A9,'Checklist'!$H:$H,"Blocked")</f>
        <v/>
      </c>
      <c r="F9" s="10">
        <f>COUNTIFS('Checklist'!$B:$B,$A9,'Checklist'!$H:$H,"Not started")</f>
        <v/>
      </c>
      <c r="G9" s="10">
        <f>COUNTIFS('Checklist'!$B:$B,$A9,'Checklist'!$H:$H,"N/A")</f>
        <v/>
      </c>
      <c r="H9" s="11">
        <f>IFERROR(C9/(B9-G9),0)</f>
        <v/>
      </c>
    </row>
    <row r="10">
      <c r="A10" s="10" t="inlineStr">
        <is>
          <t>Testing</t>
        </is>
      </c>
      <c r="B10" s="10">
        <f>COUNTIF('Checklist'!$B:$B,A10)</f>
        <v/>
      </c>
      <c r="C10" s="10">
        <f>COUNTIFS('Checklist'!$B:$B,$A10,'Checklist'!$H:$H,"Done")</f>
        <v/>
      </c>
      <c r="D10" s="10">
        <f>COUNTIFS('Checklist'!$B:$B,$A10,'Checklist'!$H:$H,"In progress")</f>
        <v/>
      </c>
      <c r="E10" s="10">
        <f>COUNTIFS('Checklist'!$B:$B,$A10,'Checklist'!$H:$H,"Blocked")</f>
        <v/>
      </c>
      <c r="F10" s="10">
        <f>COUNTIFS('Checklist'!$B:$B,$A10,'Checklist'!$H:$H,"Not started")</f>
        <v/>
      </c>
      <c r="G10" s="10">
        <f>COUNTIFS('Checklist'!$B:$B,$A10,'Checklist'!$H:$H,"N/A")</f>
        <v/>
      </c>
      <c r="H10" s="11">
        <f>IFERROR(C10/(B10-G10),0)</f>
        <v/>
      </c>
    </row>
    <row r="11">
      <c r="A11" s="10" t="inlineStr">
        <is>
          <t>Cutover readiness</t>
        </is>
      </c>
      <c r="B11" s="10">
        <f>COUNTIF('Checklist'!$B:$B,A11)</f>
        <v/>
      </c>
      <c r="C11" s="10">
        <f>COUNTIFS('Checklist'!$B:$B,$A11,'Checklist'!$H:$H,"Done")</f>
        <v/>
      </c>
      <c r="D11" s="10">
        <f>COUNTIFS('Checklist'!$B:$B,$A11,'Checklist'!$H:$H,"In progress")</f>
        <v/>
      </c>
      <c r="E11" s="10">
        <f>COUNTIFS('Checklist'!$B:$B,$A11,'Checklist'!$H:$H,"Blocked")</f>
        <v/>
      </c>
      <c r="F11" s="10">
        <f>COUNTIFS('Checklist'!$B:$B,$A11,'Checklist'!$H:$H,"Not started")</f>
        <v/>
      </c>
      <c r="G11" s="10">
        <f>COUNTIFS('Checklist'!$B:$B,$A11,'Checklist'!$H:$H,"N/A")</f>
        <v/>
      </c>
      <c r="H11" s="11">
        <f>IFERROR(C11/(B11-G11),0)</f>
        <v/>
      </c>
    </row>
    <row r="12">
      <c r="A12" s="10" t="inlineStr">
        <is>
          <t>Communications</t>
        </is>
      </c>
      <c r="B12" s="10">
        <f>COUNTIF('Checklist'!$B:$B,A12)</f>
        <v/>
      </c>
      <c r="C12" s="10">
        <f>COUNTIFS('Checklist'!$B:$B,$A12,'Checklist'!$H:$H,"Done")</f>
        <v/>
      </c>
      <c r="D12" s="10">
        <f>COUNTIFS('Checklist'!$B:$B,$A12,'Checklist'!$H:$H,"In progress")</f>
        <v/>
      </c>
      <c r="E12" s="10">
        <f>COUNTIFS('Checklist'!$B:$B,$A12,'Checklist'!$H:$H,"Blocked")</f>
        <v/>
      </c>
      <c r="F12" s="10">
        <f>COUNTIFS('Checklist'!$B:$B,$A12,'Checklist'!$H:$H,"Not started")</f>
        <v/>
      </c>
      <c r="G12" s="10">
        <f>COUNTIFS('Checklist'!$B:$B,$A12,'Checklist'!$H:$H,"N/A")</f>
        <v/>
      </c>
      <c r="H12" s="11">
        <f>IFERROR(C12/(B12-G12),0)</f>
        <v/>
      </c>
    </row>
    <row r="13">
      <c r="A13" s="10" t="inlineStr">
        <is>
          <t>Operations readiness</t>
        </is>
      </c>
      <c r="B13" s="10">
        <f>COUNTIF('Checklist'!$B:$B,A13)</f>
        <v/>
      </c>
      <c r="C13" s="10">
        <f>COUNTIFS('Checklist'!$B:$B,$A13,'Checklist'!$H:$H,"Done")</f>
        <v/>
      </c>
      <c r="D13" s="10">
        <f>COUNTIFS('Checklist'!$B:$B,$A13,'Checklist'!$H:$H,"In progress")</f>
        <v/>
      </c>
      <c r="E13" s="10">
        <f>COUNTIFS('Checklist'!$B:$B,$A13,'Checklist'!$H:$H,"Blocked")</f>
        <v/>
      </c>
      <c r="F13" s="10">
        <f>COUNTIFS('Checklist'!$B:$B,$A13,'Checklist'!$H:$H,"Not started")</f>
        <v/>
      </c>
      <c r="G13" s="10">
        <f>COUNTIFS('Checklist'!$B:$B,$A13,'Checklist'!$H:$H,"N/A")</f>
        <v/>
      </c>
      <c r="H13" s="11">
        <f>IFERROR(C13/(B13-G13),0)</f>
        <v/>
      </c>
    </row>
    <row r="14">
      <c r="A14" s="12" t="inlineStr">
        <is>
          <t>Total</t>
        </is>
      </c>
      <c r="B14" s="12">
        <f>SUM(B2:B13)</f>
        <v/>
      </c>
      <c r="C14" s="12">
        <f>SUM(C2:C13)</f>
        <v/>
      </c>
      <c r="D14" s="12">
        <f>SUM(D2:D13)</f>
        <v/>
      </c>
      <c r="E14" s="12">
        <f>SUM(E2:E13)</f>
        <v/>
      </c>
      <c r="F14" s="12">
        <f>SUM(F2:F13)</f>
        <v/>
      </c>
      <c r="G14" s="12">
        <f>SUM(G2:G13)</f>
        <v/>
      </c>
      <c r="H14" s="13">
        <f>IFERROR(C14/(B14-G14),0)</f>
        <v/>
      </c>
    </row>
    <row r="16">
      <c r="A16" s="14" t="inlineStr">
        <is>
          <t>Go-live readiness rule: all Critical items Done or N/A, no Blocked items, ≥ 90% overall.</t>
        </is>
      </c>
    </row>
    <row r="17">
      <c r="A17" t="inlineStr">
        <is>
          <t>Critical items not yet Done</t>
        </is>
      </c>
      <c r="B17">
        <f>COUNTIFS('Checklist'!$G:$G,"Critical",'Checklist'!$H:$H,"&lt;&gt;Done",'Checklist'!$H:$H,"&lt;&gt;N/A",'Checklist'!$A:$A,"&lt;&gt;ID")</f>
        <v/>
      </c>
    </row>
  </sheetData>
  <conditionalFormatting sqref="H2:H14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52" customWidth="1" min="4" max="4"/>
    <col width="40" customWidth="1" min="5" max="5"/>
    <col width="18" customWidth="1" min="6" max="6"/>
    <col width="11" customWidth="1" min="7" max="7"/>
    <col width="13" customWidth="1" min="8" max="8"/>
    <col width="12" customWidth="1" min="9" max="9"/>
    <col width="10" customWidth="1" min="10" max="10"/>
    <col width="40" customWidth="1" min="11" max="11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Item</t>
        </is>
      </c>
      <c r="D1" s="15" t="inlineStr">
        <is>
          <t>Guidance</t>
        </is>
      </c>
      <c r="E1" s="15" t="inlineStr">
        <is>
          <t>Azure tool / reference</t>
        </is>
      </c>
      <c r="F1" s="15" t="inlineStr">
        <is>
          <t>Owner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Due date</t>
        </is>
      </c>
      <c r="J1" s="15" t="inlineStr">
        <is>
          <t>Wave</t>
        </is>
      </c>
      <c r="K1" s="15" t="inlineStr">
        <is>
          <t>Evidence / notes</t>
        </is>
      </c>
    </row>
    <row r="2">
      <c r="A2" s="16" t="inlineStr">
        <is>
          <t>PRE-001</t>
        </is>
      </c>
      <c r="B2" s="16" t="inlineStr">
        <is>
          <t>Governance &amp; commercials</t>
        </is>
      </c>
      <c r="C2" s="16" t="inlineStr">
        <is>
          <t>Executive sponsor and steering committee named</t>
        </is>
      </c>
      <c r="D2" s="16" t="inlineStr">
        <is>
          <t>Sponsor owns the business case; steering meets fortnightly through migration.</t>
        </is>
      </c>
      <c r="E2" s="16" t="inlineStr">
        <is>
          <t>Programme charter</t>
        </is>
      </c>
      <c r="F2" s="16" t="inlineStr"/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</row>
    <row r="3">
      <c r="A3" s="16" t="inlineStr">
        <is>
          <t>PRE-002</t>
        </is>
      </c>
      <c r="B3" s="16" t="inlineStr">
        <is>
          <t>Governance &amp; commercials</t>
        </is>
      </c>
      <c r="C3" s="16" t="inlineStr">
        <is>
          <t>Business case approved with run-rate, migration cost and funding shown separately</t>
        </is>
      </c>
      <c r="D3" s="16" t="inlineStr">
        <is>
          <t>Avoid double counting vendor credits against run-rate savings.</t>
        </is>
      </c>
      <c r="E3" s="16" t="inlineStr">
        <is>
          <t>Microsoft Cost Management, budgets, Azure Advisor</t>
        </is>
      </c>
      <c r="F3" s="16" t="inlineStr"/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</row>
    <row r="4">
      <c r="A4" s="16" t="inlineStr">
        <is>
          <t>PRE-003</t>
        </is>
      </c>
      <c r="B4" s="16" t="inlineStr">
        <is>
          <t>Governance &amp; commercials</t>
        </is>
      </c>
      <c r="C4" s="16" t="inlineStr">
        <is>
          <t>Vendor funding / programme approvals in place</t>
        </is>
      </c>
      <c r="D4" s="16" t="inlineStr">
        <is>
          <t>Confirm eligibility, customer consent and evidence requirements before work starts.</t>
        </is>
      </c>
      <c r="E4" s="16" t="inlineStr">
        <is>
          <t>Funding plan</t>
        </is>
      </c>
      <c r="F4" s="16" t="inlineStr"/>
      <c r="G4" s="16" t="inlineStr">
        <is>
          <t>High</t>
        </is>
      </c>
      <c r="H4" s="16" t="inlineStr">
        <is>
          <t>Not started</t>
        </is>
      </c>
      <c r="I4" s="16" t="inlineStr"/>
      <c r="J4" s="16" t="inlineStr"/>
      <c r="K4" s="16" t="inlineStr"/>
    </row>
    <row r="5">
      <c r="A5" s="16" t="inlineStr">
        <is>
          <t>PRE-004</t>
        </is>
      </c>
      <c r="B5" s="16" t="inlineStr">
        <is>
          <t>Governance &amp; commercials</t>
        </is>
      </c>
      <c r="C5" s="16" t="inlineStr">
        <is>
          <t>Billing account / subscription ownership agreed</t>
        </is>
      </c>
      <c r="D5" s="16" t="inlineStr">
        <is>
          <t>Who holds the payer / billing root, who pays, and how chargeback works.</t>
        </is>
      </c>
      <c r="E5" s="16" t="inlineStr">
        <is>
          <t>Microsoft Cost Management, budgets, Azure Advisor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</row>
    <row r="6">
      <c r="A6" s="16" t="inlineStr">
        <is>
          <t>PRE-005</t>
        </is>
      </c>
      <c r="B6" s="16" t="inlineStr">
        <is>
          <t>Governance &amp; commercials</t>
        </is>
      </c>
      <c r="C6" s="16" t="inlineStr">
        <is>
          <t>Commitment strategy agreed (post right-sizing)</t>
        </is>
      </c>
      <c r="D6" s="16" t="inlineStr">
        <is>
          <t>Stage commitments after 30–60 days of post-migration telemetry.</t>
        </is>
      </c>
      <c r="E6" s="16" t="inlineStr">
        <is>
          <t>Azure Reservations, Azure savings plan for compute, Azure Hybrid Benefit</t>
        </is>
      </c>
      <c r="F6" s="16" t="inlineStr"/>
      <c r="G6" s="16" t="inlineStr">
        <is>
          <t>Medium</t>
        </is>
      </c>
      <c r="H6" s="16" t="inlineStr">
        <is>
          <t>Not started</t>
        </is>
      </c>
      <c r="I6" s="16" t="inlineStr"/>
      <c r="J6" s="16" t="inlineStr"/>
      <c r="K6" s="16" t="inlineStr"/>
    </row>
    <row r="7">
      <c r="A7" s="16" t="inlineStr">
        <is>
          <t>PRE-006</t>
        </is>
      </c>
      <c r="B7" s="16" t="inlineStr">
        <is>
          <t>Governance &amp; commercials</t>
        </is>
      </c>
      <c r="C7" s="16" t="inlineStr">
        <is>
          <t>Change freeze and blackout calendar captured</t>
        </is>
      </c>
      <c r="D7" s="16" t="inlineStr">
        <is>
          <t>Month-end, quarter-end, festive peaks, audits.</t>
        </is>
      </c>
      <c r="E7" s="16" t="inlineStr">
        <is>
          <t>Wave plan</t>
        </is>
      </c>
      <c r="F7" s="16" t="inlineStr"/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</row>
    <row r="8">
      <c r="A8" s="16" t="inlineStr">
        <is>
          <t>PRE-007</t>
        </is>
      </c>
      <c r="B8" s="16" t="inlineStr">
        <is>
          <t>Discovery &amp; assessment</t>
        </is>
      </c>
      <c r="C8" s="16" t="inlineStr">
        <is>
          <t>All in-scope servers discovered with ≥ 14 days of performance data</t>
        </is>
      </c>
      <c r="D8" s="16" t="inlineStr">
        <is>
          <t>Size to p95, not allocation.</t>
        </is>
      </c>
      <c r="E8" s="16" t="inlineStr">
        <is>
          <t>Azure Migrate appliance (+ Dr. Migrate insights where required)</t>
        </is>
      </c>
      <c r="F8" s="16" t="inlineStr"/>
      <c r="G8" s="16" t="inlineStr">
        <is>
          <t>Critical</t>
        </is>
      </c>
      <c r="H8" s="16" t="inlineStr">
        <is>
          <t>Not started</t>
        </is>
      </c>
      <c r="I8" s="16" t="inlineStr"/>
      <c r="J8" s="16" t="inlineStr"/>
      <c r="K8" s="16" t="inlineStr"/>
    </row>
    <row r="9">
      <c r="A9" s="16" t="inlineStr">
        <is>
          <t>PRE-008</t>
        </is>
      </c>
      <c r="B9" s="16" t="inlineStr">
        <is>
          <t>Discovery &amp; assessment</t>
        </is>
      </c>
      <c r="C9" s="16" t="inlineStr">
        <is>
          <t>Application owners identified and interviewed</t>
        </is>
      </c>
      <c r="D9" s="16" t="inlineStr">
        <is>
          <t>Every application needs a named owner who signs the disposition.</t>
        </is>
      </c>
      <c r="E9" s="16" t="inlineStr">
        <is>
          <t>Application portfolio</t>
        </is>
      </c>
      <c r="F9" s="16" t="inlineStr"/>
      <c r="G9" s="16" t="inlineStr">
        <is>
          <t>Critical</t>
        </is>
      </c>
      <c r="H9" s="16" t="inlineStr">
        <is>
          <t>Not started</t>
        </is>
      </c>
      <c r="I9" s="16" t="inlineStr"/>
      <c r="J9" s="16" t="inlineStr"/>
      <c r="K9" s="16" t="inlineStr"/>
    </row>
    <row r="10">
      <c r="A10" s="16" t="inlineStr">
        <is>
          <t>PRE-009</t>
        </is>
      </c>
      <c r="B10" s="16" t="inlineStr">
        <is>
          <t>Discovery &amp; assessment</t>
        </is>
      </c>
      <c r="C10" s="16" t="inlineStr">
        <is>
          <t>Dependencies mapped and validated with owners</t>
        </is>
      </c>
      <c r="D10" s="16" t="inlineStr">
        <is>
          <t>Include AD, DNS, NTP, SMTP, file shares, licensing servers, batch schedulers.</t>
        </is>
      </c>
      <c r="E10" s="16" t="inlineStr">
        <is>
          <t>Azure Migrate appliance (+ Dr. Migrate insights where required)</t>
        </is>
      </c>
      <c r="F10" s="16" t="inlineStr"/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</row>
    <row r="11">
      <c r="A11" s="16" t="inlineStr">
        <is>
          <t>PRE-010</t>
        </is>
      </c>
      <c r="B11" s="16" t="inlineStr">
        <is>
          <t>Discovery &amp; assessment</t>
        </is>
      </c>
      <c r="C11" s="16" t="inlineStr">
        <is>
          <t>7R disposition signed off per application</t>
        </is>
      </c>
      <c r="D11" s="16" t="inlineStr">
        <is>
          <t>Retire, retain, rehost, relocate, replatform, repurchase, refactor.</t>
        </is>
      </c>
      <c r="E11" s="16" t="inlineStr">
        <is>
          <t>Assessment workbook</t>
        </is>
      </c>
      <c r="F11" s="16" t="inlineStr"/>
      <c r="G11" s="16" t="inlineStr">
        <is>
          <t>High</t>
        </is>
      </c>
      <c r="H11" s="16" t="inlineStr">
        <is>
          <t>Not started</t>
        </is>
      </c>
      <c r="I11" s="16" t="inlineStr"/>
      <c r="J11" s="16" t="inlineStr"/>
      <c r="K11" s="16" t="inlineStr"/>
    </row>
    <row r="12">
      <c r="A12" s="16" t="inlineStr">
        <is>
          <t>PRE-011</t>
        </is>
      </c>
      <c r="B12" s="16" t="inlineStr">
        <is>
          <t>Discovery &amp; assessment</t>
        </is>
      </c>
      <c r="C12" s="16" t="inlineStr">
        <is>
          <t>Database inventory with versions, size, features and growth</t>
        </is>
      </c>
      <c r="D12" s="16" t="inlineStr">
        <is>
          <t>Drives migration method and downtime estimate.</t>
        </is>
      </c>
      <c r="E12" s="16" t="inlineStr">
        <is>
          <t>Azure Database Migration Service / SQL Managed Instance link</t>
        </is>
      </c>
      <c r="F12" s="16" t="inlineStr"/>
      <c r="G12" s="16" t="inlineStr">
        <is>
          <t>High</t>
        </is>
      </c>
      <c r="H12" s="16" t="inlineStr">
        <is>
          <t>Not started</t>
        </is>
      </c>
      <c r="I12" s="16" t="inlineStr"/>
      <c r="J12" s="16" t="inlineStr"/>
      <c r="K12" s="16" t="inlineStr"/>
    </row>
    <row r="13">
      <c r="A13" s="16" t="inlineStr">
        <is>
          <t>PRE-012</t>
        </is>
      </c>
      <c r="B13" s="16" t="inlineStr">
        <is>
          <t>Discovery &amp; assessment</t>
        </is>
      </c>
      <c r="C13" s="16" t="inlineStr">
        <is>
          <t>Licensing position confirmed (BYOL / licence-included)</t>
        </is>
      </c>
      <c r="D13" s="16" t="inlineStr">
        <is>
          <t>OS, database, middleware and ISV licences — including mobility rights.</t>
        </is>
      </c>
      <c r="E13" s="16" t="inlineStr">
        <is>
          <t>Licence register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</row>
    <row r="14">
      <c r="A14" s="16" t="inlineStr">
        <is>
          <t>PRE-013</t>
        </is>
      </c>
      <c r="B14" s="16" t="inlineStr">
        <is>
          <t>Discovery &amp; assessment</t>
        </is>
      </c>
      <c r="C14" s="16" t="inlineStr">
        <is>
          <t>Data classification completed for in-scope data</t>
        </is>
      </c>
      <c r="D14" s="16" t="inlineStr">
        <is>
          <t>Personal data under DPDP, regulated data (RBI / SEBI / IRDAI), confidential IP.</t>
        </is>
      </c>
      <c r="E14" s="16" t="inlineStr">
        <is>
          <t>Data classification register</t>
        </is>
      </c>
      <c r="F14" s="16" t="inlineStr"/>
      <c r="G14" s="16" t="inlineStr">
        <is>
          <t>Critical</t>
        </is>
      </c>
      <c r="H14" s="16" t="inlineStr">
        <is>
          <t>Not started</t>
        </is>
      </c>
      <c r="I14" s="16" t="inlineStr"/>
      <c r="J14" s="16" t="inlineStr"/>
      <c r="K14" s="16" t="inlineStr"/>
    </row>
    <row r="15">
      <c r="A15" s="16" t="inlineStr">
        <is>
          <t>PRE-014</t>
        </is>
      </c>
      <c r="B15" s="16" t="inlineStr">
        <is>
          <t>Landing zone &amp; identity</t>
        </is>
      </c>
      <c r="C15" s="16" t="inlineStr">
        <is>
          <t>Landing zone deployed as code and peer reviewed</t>
        </is>
      </c>
      <c r="D15" s="16" t="inlineStr">
        <is>
          <t>Azure Landing Zones (CAF) — management groups, Azure Policy</t>
        </is>
      </c>
      <c r="E15" s="16" t="inlineStr">
        <is>
          <t>Bicep / Terraform (Azure Verified Modules)</t>
        </is>
      </c>
      <c r="F15" s="16" t="inlineStr"/>
      <c r="G15" s="16" t="inlineStr">
        <is>
          <t>Critical</t>
        </is>
      </c>
      <c r="H15" s="16" t="inlineStr">
        <is>
          <t>Not started</t>
        </is>
      </c>
      <c r="I15" s="16" t="inlineStr"/>
      <c r="J15" s="16" t="inlineStr"/>
      <c r="K15" s="16" t="inlineStr"/>
    </row>
    <row r="16">
      <c r="A16" s="16" t="inlineStr">
        <is>
          <t>PRE-015</t>
        </is>
      </c>
      <c r="B16" s="16" t="inlineStr">
        <is>
          <t>Landing zone &amp; identity</t>
        </is>
      </c>
      <c r="C16" s="16" t="inlineStr">
        <is>
          <t>Guardrails enforced (allowed regions, encryption, tagging, public access)</t>
        </is>
      </c>
      <c r="D16" s="16" t="inlineStr">
        <is>
          <t>Regions: Central India (Pune), South India (Chennai), West India (Mumbai).</t>
        </is>
      </c>
      <c r="E16" s="16" t="inlineStr">
        <is>
          <t>Azure Landing Zones (CAF) — management groups, Azure Policy</t>
        </is>
      </c>
      <c r="F16" s="16" t="inlineStr"/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</row>
    <row r="17">
      <c r="A17" s="16" t="inlineStr">
        <is>
          <t>PRE-016</t>
        </is>
      </c>
      <c r="B17" s="16" t="inlineStr">
        <is>
          <t>Landing zone &amp; identity</t>
        </is>
      </c>
      <c r="C17" s="16" t="inlineStr">
        <is>
          <t>Identity federation and MFA for all administrators</t>
        </is>
      </c>
      <c r="D17" s="16" t="inlineStr">
        <is>
          <t>Microsoft Entra ID with Privileged Identity Management and Conditional Access</t>
        </is>
      </c>
      <c r="E17" s="16" t="inlineStr">
        <is>
          <t>Microsoft Entra ID with Privileged Identity Management and Conditional Access</t>
        </is>
      </c>
      <c r="F17" s="16" t="inlineStr"/>
      <c r="G17" s="16" t="inlineStr">
        <is>
          <t>Critical</t>
        </is>
      </c>
      <c r="H17" s="16" t="inlineStr">
        <is>
          <t>Not started</t>
        </is>
      </c>
      <c r="I17" s="16" t="inlineStr"/>
      <c r="J17" s="16" t="inlineStr"/>
      <c r="K17" s="16" t="inlineStr"/>
    </row>
    <row r="18">
      <c r="A18" s="16" t="inlineStr">
        <is>
          <t>PRE-017</t>
        </is>
      </c>
      <c r="B18" s="16" t="inlineStr">
        <is>
          <t>Landing zone &amp; identity</t>
        </is>
      </c>
      <c r="C18" s="16" t="inlineStr">
        <is>
          <t>Privileged access just-in-time and break-glass accounts tested</t>
        </is>
      </c>
      <c r="D18" s="16" t="inlineStr">
        <is>
          <t>Two break-glass accounts, stored offline, alerting on use.</t>
        </is>
      </c>
      <c r="E18" s="16" t="inlineStr">
        <is>
          <t>Azure Lighthouse delegated access + PIM</t>
        </is>
      </c>
      <c r="F18" s="16" t="inlineStr"/>
      <c r="G18" s="16" t="inlineStr">
        <is>
          <t>High</t>
        </is>
      </c>
      <c r="H18" s="16" t="inlineStr">
        <is>
          <t>Not started</t>
        </is>
      </c>
      <c r="I18" s="16" t="inlineStr"/>
      <c r="J18" s="16" t="inlineStr"/>
      <c r="K18" s="16" t="inlineStr"/>
    </row>
    <row r="19">
      <c r="A19" s="16" t="inlineStr">
        <is>
          <t>PRE-018</t>
        </is>
      </c>
      <c r="B19" s="16" t="inlineStr">
        <is>
          <t>Landing zone &amp; identity</t>
        </is>
      </c>
      <c r="C19" s="16" t="inlineStr">
        <is>
          <t>Tagging / labelling standard published and enforced</t>
        </is>
      </c>
      <c r="D19" s="16" t="inlineStr">
        <is>
          <t>CostCentre, Environment, Owner, Application, DataClassification</t>
        </is>
      </c>
      <c r="E19" s="16" t="inlineStr">
        <is>
          <t>Azure Landing Zones (CAF) — management groups, Azure Policy</t>
        </is>
      </c>
      <c r="F19" s="16" t="inlineStr"/>
      <c r="G19" s="16" t="inlineStr">
        <is>
          <t>High</t>
        </is>
      </c>
      <c r="H19" s="16" t="inlineStr">
        <is>
          <t>Not started</t>
        </is>
      </c>
      <c r="I19" s="16" t="inlineStr"/>
      <c r="J19" s="16" t="inlineStr"/>
      <c r="K19" s="16" t="inlineStr"/>
    </row>
    <row r="20">
      <c r="A20" s="16" t="inlineStr">
        <is>
          <t>PRE-019</t>
        </is>
      </c>
      <c r="B20" s="16" t="inlineStr">
        <is>
          <t>Network &amp; connectivity</t>
        </is>
      </c>
      <c r="C20" s="16" t="inlineStr">
        <is>
          <t>Private connectivity provisioned and tested for throughput</t>
        </is>
      </c>
      <c r="D20" s="16" t="inlineStr">
        <is>
          <t>Size for replication peaks plus production traffic.</t>
        </is>
      </c>
      <c r="E20" s="16" t="inlineStr">
        <is>
          <t>Azure ExpressRoute (primary) + VPN Gateway (backup)</t>
        </is>
      </c>
      <c r="F20" s="16" t="inlineStr"/>
      <c r="G20" s="16" t="inlineStr">
        <is>
          <t>Critical</t>
        </is>
      </c>
      <c r="H20" s="16" t="inlineStr">
        <is>
          <t>Not started</t>
        </is>
      </c>
      <c r="I20" s="16" t="inlineStr"/>
      <c r="J20" s="16" t="inlineStr"/>
      <c r="K20" s="16" t="inlineStr"/>
    </row>
    <row r="21">
      <c r="A21" s="16" t="inlineStr">
        <is>
          <t>PRE-020</t>
        </is>
      </c>
      <c r="B21" s="16" t="inlineStr">
        <is>
          <t>Network &amp; connectivity</t>
        </is>
      </c>
      <c r="C21" s="16" t="inlineStr">
        <is>
          <t>IP address plan with no overlap against on-premises</t>
        </is>
      </c>
      <c r="D21" s="16" t="inlineStr">
        <is>
          <t>Reserve ranges for growth (containers, PaaS private endpoints).</t>
        </is>
      </c>
      <c r="E21" s="16" t="inlineStr">
        <is>
          <t>IPAM</t>
        </is>
      </c>
      <c r="F21" s="16" t="inlineStr"/>
      <c r="G21" s="16" t="inlineStr">
        <is>
          <t>Critical</t>
        </is>
      </c>
      <c r="H21" s="16" t="inlineStr">
        <is>
          <t>Not started</t>
        </is>
      </c>
      <c r="I21" s="16" t="inlineStr"/>
      <c r="J21" s="16" t="inlineStr"/>
      <c r="K21" s="16" t="inlineStr"/>
    </row>
    <row r="22">
      <c r="A22" s="16" t="inlineStr">
        <is>
          <t>PRE-021</t>
        </is>
      </c>
      <c r="B22" s="16" t="inlineStr">
        <is>
          <t>Network &amp; connectivity</t>
        </is>
      </c>
      <c r="C22" s="16" t="inlineStr">
        <is>
          <t>Hybrid DNS resolution validated both directions</t>
        </is>
      </c>
      <c r="D22" s="16" t="inlineStr">
        <is>
          <t>Azure DNS Private Resolver and Private DNS zones for Private Link</t>
        </is>
      </c>
      <c r="E22" s="16" t="inlineStr">
        <is>
          <t>Azure DNS Private Resolver and Private DNS zones for Private Link</t>
        </is>
      </c>
      <c r="F22" s="16" t="inlineStr"/>
      <c r="G22" s="16" t="inlineStr">
        <is>
          <t>Critical</t>
        </is>
      </c>
      <c r="H22" s="16" t="inlineStr">
        <is>
          <t>Not started</t>
        </is>
      </c>
      <c r="I22" s="16" t="inlineStr"/>
      <c r="J22" s="16" t="inlineStr"/>
      <c r="K22" s="16" t="inlineStr"/>
    </row>
    <row r="23">
      <c r="A23" s="16" t="inlineStr">
        <is>
          <t>PRE-022</t>
        </is>
      </c>
      <c r="B23" s="16" t="inlineStr">
        <is>
          <t>Network &amp; connectivity</t>
        </is>
      </c>
      <c r="C23" s="16" t="inlineStr">
        <is>
          <t>Firewall rules for migrated apps prepared and reviewed</t>
        </is>
      </c>
      <c r="D23" s="16" t="inlineStr">
        <is>
          <t>Least privilege; document every rule with an owner.</t>
        </is>
      </c>
      <c r="E23" s="16" t="inlineStr">
        <is>
          <t>Hub-and-spoke or Virtual WAN with Azure Firewall</t>
        </is>
      </c>
      <c r="F23" s="16" t="inlineStr"/>
      <c r="G23" s="16" t="inlineStr">
        <is>
          <t>High</t>
        </is>
      </c>
      <c r="H23" s="16" t="inlineStr">
        <is>
          <t>Not started</t>
        </is>
      </c>
      <c r="I23" s="16" t="inlineStr"/>
      <c r="J23" s="16" t="inlineStr"/>
      <c r="K23" s="16" t="inlineStr"/>
    </row>
    <row r="24">
      <c r="A24" s="16" t="inlineStr">
        <is>
          <t>PRE-023</t>
        </is>
      </c>
      <c r="B24" s="16" t="inlineStr">
        <is>
          <t>Network &amp; connectivity</t>
        </is>
      </c>
      <c r="C24" s="16" t="inlineStr">
        <is>
          <t>Internet egress and inspection path designed</t>
        </is>
      </c>
      <c r="D24" s="16" t="inlineStr">
        <is>
          <t>Centralised egress through the hub firewall.</t>
        </is>
      </c>
      <c r="E24" s="16" t="inlineStr">
        <is>
          <t>Hub-and-spoke or Virtual WAN with Azure Firewall</t>
        </is>
      </c>
      <c r="F24" s="16" t="inlineStr"/>
      <c r="G24" s="16" t="inlineStr">
        <is>
          <t>High</t>
        </is>
      </c>
      <c r="H24" s="16" t="inlineStr">
        <is>
          <t>Not started</t>
        </is>
      </c>
      <c r="I24" s="16" t="inlineStr"/>
      <c r="J24" s="16" t="inlineStr"/>
      <c r="K24" s="16" t="inlineStr"/>
    </row>
    <row r="25">
      <c r="A25" s="16" t="inlineStr">
        <is>
          <t>PRE-024</t>
        </is>
      </c>
      <c r="B25" s="16" t="inlineStr">
        <is>
          <t>Network &amp; connectivity</t>
        </is>
      </c>
      <c r="C25" s="16" t="inlineStr">
        <is>
          <t>Load balancer / DNS TTLs lowered ahead of cutover</t>
        </is>
      </c>
      <c r="D25" s="16" t="inlineStr">
        <is>
          <t>Lower TTLs to ≤ 300 s at least 48 h before cutover.</t>
        </is>
      </c>
      <c r="E25" s="16" t="inlineStr">
        <is>
          <t>Azure DNS Private Resolver and Private DNS zones for Private Link</t>
        </is>
      </c>
      <c r="F25" s="16" t="inlineStr"/>
      <c r="G25" s="16" t="inlineStr">
        <is>
          <t>Medium</t>
        </is>
      </c>
      <c r="H25" s="16" t="inlineStr">
        <is>
          <t>Not started</t>
        </is>
      </c>
      <c r="I25" s="16" t="inlineStr"/>
      <c r="J25" s="16" t="inlineStr"/>
      <c r="K25" s="16" t="inlineStr"/>
    </row>
    <row r="26">
      <c r="A26" s="16" t="inlineStr">
        <is>
          <t>PRE-025</t>
        </is>
      </c>
      <c r="B26" s="16" t="inlineStr">
        <is>
          <t>Security &amp; compliance</t>
        </is>
      </c>
      <c r="C26" s="16" t="inlineStr">
        <is>
          <t>Security baseline enabled in every account / subscription / project</t>
        </is>
      </c>
      <c r="D26" s="16" t="inlineStr">
        <is>
          <t>Microsoft Defender for Cloud (Defender CSPM, Secure Score)</t>
        </is>
      </c>
      <c r="E26" s="16" t="inlineStr">
        <is>
          <t>Microsoft Cloud Security Benchmark / CIS Microsoft Azure Foundations</t>
        </is>
      </c>
      <c r="F26" s="16" t="inlineStr"/>
      <c r="G26" s="16" t="inlineStr">
        <is>
          <t>Critical</t>
        </is>
      </c>
      <c r="H26" s="16" t="inlineStr">
        <is>
          <t>Not started</t>
        </is>
      </c>
      <c r="I26" s="16" t="inlineStr"/>
      <c r="J26" s="16" t="inlineStr"/>
      <c r="K26" s="16" t="inlineStr"/>
    </row>
    <row r="27">
      <c r="A27" s="16" t="inlineStr">
        <is>
          <t>PRE-026</t>
        </is>
      </c>
      <c r="B27" s="16" t="inlineStr">
        <is>
          <t>Security &amp; compliance</t>
        </is>
      </c>
      <c r="C27" s="16" t="inlineStr">
        <is>
          <t>Central logging with ≥ 180-day retention in India</t>
        </is>
      </c>
      <c r="D27" s="16" t="inlineStr">
        <is>
          <t>CERT-In directions (April 2022).</t>
        </is>
      </c>
      <c r="E27" s="16" t="inlineStr">
        <is>
          <t>Diagnostic settings to a central Log Analytics workspace; Activity Log export</t>
        </is>
      </c>
      <c r="F27" s="16" t="inlineStr"/>
      <c r="G27" s="16" t="inlineStr">
        <is>
          <t>Critical</t>
        </is>
      </c>
      <c r="H27" s="16" t="inlineStr">
        <is>
          <t>Not started</t>
        </is>
      </c>
      <c r="I27" s="16" t="inlineStr"/>
      <c r="J27" s="16" t="inlineStr"/>
      <c r="K27" s="16" t="inlineStr"/>
    </row>
    <row r="28">
      <c r="A28" s="16" t="inlineStr">
        <is>
          <t>PRE-027</t>
        </is>
      </c>
      <c r="B28" s="16" t="inlineStr">
        <is>
          <t>Security &amp; compliance</t>
        </is>
      </c>
      <c r="C28" s="16" t="inlineStr">
        <is>
          <t>Encryption at rest with customer-managed keys where required</t>
        </is>
      </c>
      <c r="D28" s="16" t="inlineStr">
        <is>
          <t>Azure Key Vault / Managed HSM with customer-managed keys</t>
        </is>
      </c>
      <c r="E28" s="16" t="inlineStr">
        <is>
          <t>Azure Key Vault / Managed HSM with customer-managed keys</t>
        </is>
      </c>
      <c r="F28" s="16" t="inlineStr"/>
      <c r="G28" s="16" t="inlineStr">
        <is>
          <t>High</t>
        </is>
      </c>
      <c r="H28" s="16" t="inlineStr">
        <is>
          <t>Not started</t>
        </is>
      </c>
      <c r="I28" s="16" t="inlineStr"/>
      <c r="J28" s="16" t="inlineStr"/>
      <c r="K28" s="16" t="inlineStr"/>
    </row>
    <row r="29">
      <c r="A29" s="16" t="inlineStr">
        <is>
          <t>PRE-028</t>
        </is>
      </c>
      <c r="B29" s="16" t="inlineStr">
        <is>
          <t>Security &amp; compliance</t>
        </is>
      </c>
      <c r="C29" s="16" t="inlineStr">
        <is>
          <t>Vulnerability scanning on target images and hosts</t>
        </is>
      </c>
      <c r="D29" s="16" t="inlineStr">
        <is>
          <t>Defender for Servers / SQL / Storage / Containers</t>
        </is>
      </c>
      <c r="E29" s="16" t="inlineStr">
        <is>
          <t>Defender for Servers / SQL / Storage / Containers</t>
        </is>
      </c>
      <c r="F29" s="16" t="inlineStr"/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</row>
    <row r="30">
      <c r="A30" s="16" t="inlineStr">
        <is>
          <t>PRE-029</t>
        </is>
      </c>
      <c r="B30" s="16" t="inlineStr">
        <is>
          <t>Security &amp; compliance</t>
        </is>
      </c>
      <c r="C30" s="16" t="inlineStr">
        <is>
          <t>Incident-response runbook updated for cloud (6-hour CERT-In reporting)</t>
        </is>
      </c>
      <c r="D30" s="16" t="inlineStr">
        <is>
          <t>Include contacts, evidence capture and regulator notifications.</t>
        </is>
      </c>
      <c r="E30" s="16" t="inlineStr">
        <is>
          <t>IR runbook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</row>
    <row r="31">
      <c r="A31" s="16" t="inlineStr">
        <is>
          <t>PRE-030</t>
        </is>
      </c>
      <c r="B31" s="16" t="inlineStr">
        <is>
          <t>Security &amp; compliance</t>
        </is>
      </c>
      <c r="C31" s="16" t="inlineStr">
        <is>
          <t>DPDP obligations reviewed for in-scope personal data</t>
        </is>
      </c>
      <c r="D31" s="16" t="inlineStr">
        <is>
          <t>Notice, consent, purpose limitation, safeguards, breach notification.</t>
        </is>
      </c>
      <c r="E31" s="16" t="inlineStr">
        <is>
          <t>DPDP checklist</t>
        </is>
      </c>
      <c r="F31" s="16" t="inlineStr"/>
      <c r="G31" s="16" t="inlineStr">
        <is>
          <t>High</t>
        </is>
      </c>
      <c r="H31" s="16" t="inlineStr">
        <is>
          <t>Not started</t>
        </is>
      </c>
      <c r="I31" s="16" t="inlineStr"/>
      <c r="J31" s="16" t="inlineStr"/>
      <c r="K31" s="16" t="inlineStr"/>
    </row>
    <row r="32">
      <c r="A32" s="16" t="inlineStr">
        <is>
          <t>PRE-031</t>
        </is>
      </c>
      <c r="B32" s="16" t="inlineStr">
        <is>
          <t>Data &amp; databases</t>
        </is>
      </c>
      <c r="C32" s="16" t="inlineStr">
        <is>
          <t>Migration method chosen per database with downtime budget</t>
        </is>
      </c>
      <c r="D32" s="16" t="inlineStr">
        <is>
          <t>Azure Database Migration Service / SQL Managed Instance link</t>
        </is>
      </c>
      <c r="E32" s="16" t="inlineStr">
        <is>
          <t>Azure Database Migration Service / SQL Managed Instance link</t>
        </is>
      </c>
      <c r="F32" s="16" t="inlineStr"/>
      <c r="G32" s="16" t="inlineStr">
        <is>
          <t>Critical</t>
        </is>
      </c>
      <c r="H32" s="16" t="inlineStr">
        <is>
          <t>Not started</t>
        </is>
      </c>
      <c r="I32" s="16" t="inlineStr"/>
      <c r="J32" s="16" t="inlineStr"/>
      <c r="K32" s="16" t="inlineStr"/>
    </row>
    <row r="33">
      <c r="A33" s="16" t="inlineStr">
        <is>
          <t>PRE-032</t>
        </is>
      </c>
      <c r="B33" s="16" t="inlineStr">
        <is>
          <t>Data &amp; databases</t>
        </is>
      </c>
      <c r="C33" s="16" t="inlineStr">
        <is>
          <t>Schema / code conversion assessed for heterogeneous moves</t>
        </is>
      </c>
      <c r="D33" s="16" t="inlineStr">
        <is>
          <t>Stored procedures, triggers, data types, collation and character set.</t>
        </is>
      </c>
      <c r="E33" s="16" t="inlineStr">
        <is>
          <t>Azure Database Migration Service / SQL Managed Instance link</t>
        </is>
      </c>
      <c r="F33" s="16" t="inlineStr"/>
      <c r="G33" s="16" t="inlineStr">
        <is>
          <t>High</t>
        </is>
      </c>
      <c r="H33" s="16" t="inlineStr">
        <is>
          <t>Not started</t>
        </is>
      </c>
      <c r="I33" s="16" t="inlineStr"/>
      <c r="J33" s="16" t="inlineStr"/>
      <c r="K33" s="16" t="inlineStr"/>
    </row>
    <row r="34">
      <c r="A34" s="16" t="inlineStr">
        <is>
          <t>PRE-033</t>
        </is>
      </c>
      <c r="B34" s="16" t="inlineStr">
        <is>
          <t>Data &amp; databases</t>
        </is>
      </c>
      <c r="C34" s="16" t="inlineStr">
        <is>
          <t>Data validation approach agreed (row counts, checksums, business reports)</t>
        </is>
      </c>
      <c r="D34" s="16" t="inlineStr">
        <is>
          <t>Define pass criteria before migration.</t>
        </is>
      </c>
      <c r="E34" s="16" t="inlineStr">
        <is>
          <t>Validation scripts</t>
        </is>
      </c>
      <c r="F34" s="16" t="inlineStr"/>
      <c r="G34" s="16" t="inlineStr">
        <is>
          <t>Critical</t>
        </is>
      </c>
      <c r="H34" s="16" t="inlineStr">
        <is>
          <t>Not started</t>
        </is>
      </c>
      <c r="I34" s="16" t="inlineStr"/>
      <c r="J34" s="16" t="inlineStr"/>
      <c r="K34" s="16" t="inlineStr"/>
    </row>
    <row r="35">
      <c r="A35" s="16" t="inlineStr">
        <is>
          <t>PRE-034</t>
        </is>
      </c>
      <c r="B35" s="16" t="inlineStr">
        <is>
          <t>Data &amp; databases</t>
        </is>
      </c>
      <c r="C35" s="16" t="inlineStr">
        <is>
          <t>Bulk data transfer method sized (online vs offline)</t>
        </is>
      </c>
      <c r="D35" s="16" t="inlineStr">
        <is>
          <t>Azure Data Box / Azure Storage Mover / AzCopy</t>
        </is>
      </c>
      <c r="E35" s="16" t="inlineStr">
        <is>
          <t>Azure Data Box / Azure Storage Mover / AzCopy</t>
        </is>
      </c>
      <c r="F35" s="16" t="inlineStr"/>
      <c r="G35" s="16" t="inlineStr">
        <is>
          <t>Medium</t>
        </is>
      </c>
      <c r="H35" s="16" t="inlineStr">
        <is>
          <t>Not started</t>
        </is>
      </c>
      <c r="I35" s="16" t="inlineStr"/>
      <c r="J35" s="16" t="inlineStr"/>
      <c r="K35" s="16" t="inlineStr"/>
    </row>
    <row r="36">
      <c r="A36" s="16" t="inlineStr">
        <is>
          <t>PRE-035</t>
        </is>
      </c>
      <c r="B36" s="16" t="inlineStr">
        <is>
          <t>Application readiness</t>
        </is>
      </c>
      <c r="C36" s="16" t="inlineStr">
        <is>
          <t>Hard-coded IPs, hostnames and file paths identified</t>
        </is>
      </c>
      <c r="D36" s="16" t="inlineStr">
        <is>
          <t>Search configs, scripts, ODBC / JDBC strings and scheduled tasks.</t>
        </is>
      </c>
      <c r="E36" s="16" t="inlineStr">
        <is>
          <t>Code / config scan</t>
        </is>
      </c>
      <c r="F36" s="16" t="inlineStr"/>
      <c r="G36" s="16" t="inlineStr">
        <is>
          <t>High</t>
        </is>
      </c>
      <c r="H36" s="16" t="inlineStr">
        <is>
          <t>Not started</t>
        </is>
      </c>
      <c r="I36" s="16" t="inlineStr"/>
      <c r="J36" s="16" t="inlineStr"/>
      <c r="K36" s="16" t="inlineStr"/>
    </row>
    <row r="37">
      <c r="A37" s="16" t="inlineStr">
        <is>
          <t>PRE-036</t>
        </is>
      </c>
      <c r="B37" s="16" t="inlineStr">
        <is>
          <t>Application readiness</t>
        </is>
      </c>
      <c r="C37" s="16" t="inlineStr">
        <is>
          <t>Certificates and secrets inventoried and migrated to a vault</t>
        </is>
      </c>
      <c r="D37" s="16" t="inlineStr">
        <is>
          <t>Azure Key Vault / Managed HSM with customer-managed keys</t>
        </is>
      </c>
      <c r="E37" s="16" t="inlineStr">
        <is>
          <t>Azure Key Vault / Managed HSM with customer-managed keys</t>
        </is>
      </c>
      <c r="F37" s="16" t="inlineStr"/>
      <c r="G37" s="16" t="inlineStr">
        <is>
          <t>High</t>
        </is>
      </c>
      <c r="H37" s="16" t="inlineStr">
        <is>
          <t>Not started</t>
        </is>
      </c>
      <c r="I37" s="16" t="inlineStr"/>
      <c r="J37" s="16" t="inlineStr"/>
      <c r="K37" s="16" t="inlineStr"/>
    </row>
    <row r="38">
      <c r="A38" s="16" t="inlineStr">
        <is>
          <t>PRE-037</t>
        </is>
      </c>
      <c r="B38" s="16" t="inlineStr">
        <is>
          <t>Application readiness</t>
        </is>
      </c>
      <c r="C38" s="16" t="inlineStr">
        <is>
          <t>Third-party integrations and IP allow-lists notified</t>
        </is>
      </c>
      <c r="D38" s="16" t="inlineStr">
        <is>
          <t>Banks, payment gateways, SaaS, partners that allow-list your egress IPs.</t>
        </is>
      </c>
      <c r="E38" s="16" t="inlineStr">
        <is>
          <t>Integration register</t>
        </is>
      </c>
      <c r="F38" s="16" t="inlineStr"/>
      <c r="G38" s="16" t="inlineStr">
        <is>
          <t>Critical</t>
        </is>
      </c>
      <c r="H38" s="16" t="inlineStr">
        <is>
          <t>Not started</t>
        </is>
      </c>
      <c r="I38" s="16" t="inlineStr"/>
      <c r="J38" s="16" t="inlineStr"/>
      <c r="K38" s="16" t="inlineStr"/>
    </row>
    <row r="39">
      <c r="A39" s="16" t="inlineStr">
        <is>
          <t>PRE-038</t>
        </is>
      </c>
      <c r="B39" s="16" t="inlineStr">
        <is>
          <t>Application readiness</t>
        </is>
      </c>
      <c r="C39" s="16" t="inlineStr">
        <is>
          <t>OS and runtime support validated on target</t>
        </is>
      </c>
      <c r="D39" s="16" t="inlineStr">
        <is>
          <t>End-of-support OS flagged for remediation or ESU.</t>
        </is>
      </c>
      <c r="E39" s="16" t="inlineStr">
        <is>
          <t>Compatibility matrix</t>
        </is>
      </c>
      <c r="F39" s="16" t="inlineStr"/>
      <c r="G39" s="16" t="inlineStr">
        <is>
          <t>Medium</t>
        </is>
      </c>
      <c r="H39" s="16" t="inlineStr">
        <is>
          <t>Not started</t>
        </is>
      </c>
      <c r="I39" s="16" t="inlineStr"/>
      <c r="J39" s="16" t="inlineStr"/>
      <c r="K39" s="16" t="inlineStr"/>
    </row>
    <row r="40">
      <c r="A40" s="16" t="inlineStr">
        <is>
          <t>PRE-039</t>
        </is>
      </c>
      <c r="B40" s="16" t="inlineStr">
        <is>
          <t>Application readiness</t>
        </is>
      </c>
      <c r="C40" s="16" t="inlineStr">
        <is>
          <t>Batch jobs and schedulers mapped to new hosts</t>
        </is>
      </c>
      <c r="D40" s="16" t="inlineStr">
        <is>
          <t>Cron, Control-M, SQL Agent, Windows Task Scheduler.</t>
        </is>
      </c>
      <c r="E40" s="16" t="inlineStr">
        <is>
          <t>Batch inventory</t>
        </is>
      </c>
      <c r="F40" s="16" t="inlineStr"/>
      <c r="G40" s="16" t="inlineStr">
        <is>
          <t>High</t>
        </is>
      </c>
      <c r="H40" s="16" t="inlineStr">
        <is>
          <t>Not started</t>
        </is>
      </c>
      <c r="I40" s="16" t="inlineStr"/>
      <c r="J40" s="16" t="inlineStr"/>
      <c r="K40" s="16" t="inlineStr"/>
    </row>
    <row r="41">
      <c r="A41" s="16" t="inlineStr">
        <is>
          <t>PRE-040</t>
        </is>
      </c>
      <c r="B41" s="16" t="inlineStr">
        <is>
          <t>Backup &amp; DR</t>
        </is>
      </c>
      <c r="C41" s="16" t="inlineStr">
        <is>
          <t>Backup policies defined per tier and applied by default</t>
        </is>
      </c>
      <c r="D41" s="16" t="inlineStr">
        <is>
          <t>Azure Backup with immutable vaults and soft delete</t>
        </is>
      </c>
      <c r="E41" s="16" t="inlineStr">
        <is>
          <t>Azure Backup with immutable vaults and soft delete</t>
        </is>
      </c>
      <c r="F41" s="16" t="inlineStr"/>
      <c r="G41" s="16" t="inlineStr">
        <is>
          <t>Critical</t>
        </is>
      </c>
      <c r="H41" s="16" t="inlineStr">
        <is>
          <t>Not started</t>
        </is>
      </c>
      <c r="I41" s="16" t="inlineStr"/>
      <c r="J41" s="16" t="inlineStr"/>
      <c r="K41" s="16" t="inlineStr"/>
    </row>
    <row r="42">
      <c r="A42" s="16" t="inlineStr">
        <is>
          <t>PRE-041</t>
        </is>
      </c>
      <c r="B42" s="16" t="inlineStr">
        <is>
          <t>Backup &amp; DR</t>
        </is>
      </c>
      <c r="C42" s="16" t="inlineStr">
        <is>
          <t>RTO / RPO agreed per application and DR design approved</t>
        </is>
      </c>
      <c r="D42" s="16" t="inlineStr">
        <is>
          <t>Azure Site Recovery / zone-redundant services</t>
        </is>
      </c>
      <c r="E42" s="16" t="inlineStr">
        <is>
          <t>Azure Site Recovery / zone-redundant services</t>
        </is>
      </c>
      <c r="F42" s="16" t="inlineStr"/>
      <c r="G42" s="16" t="inlineStr">
        <is>
          <t>High</t>
        </is>
      </c>
      <c r="H42" s="16" t="inlineStr">
        <is>
          <t>Not started</t>
        </is>
      </c>
      <c r="I42" s="16" t="inlineStr"/>
      <c r="J42" s="16" t="inlineStr"/>
      <c r="K42" s="16" t="inlineStr"/>
    </row>
    <row r="43">
      <c r="A43" s="16" t="inlineStr">
        <is>
          <t>PRE-042</t>
        </is>
      </c>
      <c r="B43" s="16" t="inlineStr">
        <is>
          <t>Backup &amp; DR</t>
        </is>
      </c>
      <c r="C43" s="16" t="inlineStr">
        <is>
          <t>Pre-migration backup of every source system verified restorable</t>
        </is>
      </c>
      <c r="D43" s="16" t="inlineStr">
        <is>
          <t>Your rollback depends on it.</t>
        </is>
      </c>
      <c r="E43" s="16" t="inlineStr">
        <is>
          <t>Backup report</t>
        </is>
      </c>
      <c r="F43" s="16" t="inlineStr"/>
      <c r="G43" s="16" t="inlineStr">
        <is>
          <t>Critical</t>
        </is>
      </c>
      <c r="H43" s="16" t="inlineStr">
        <is>
          <t>Not started</t>
        </is>
      </c>
      <c r="I43" s="16" t="inlineStr"/>
      <c r="J43" s="16" t="inlineStr"/>
      <c r="K43" s="16" t="inlineStr"/>
    </row>
    <row r="44">
      <c r="A44" s="16" t="inlineStr">
        <is>
          <t>PRE-043</t>
        </is>
      </c>
      <c r="B44" s="16" t="inlineStr">
        <is>
          <t>Testing</t>
        </is>
      </c>
      <c r="C44" s="16" t="inlineStr">
        <is>
          <t>Test plan and UAT scripts signed off by application owners</t>
        </is>
      </c>
      <c r="D44" s="16" t="inlineStr">
        <is>
          <t>Functional, integration, performance and DR tests.</t>
        </is>
      </c>
      <c r="E44" s="16" t="inlineStr">
        <is>
          <t>Test plan</t>
        </is>
      </c>
      <c r="F44" s="16" t="inlineStr"/>
      <c r="G44" s="16" t="inlineStr">
        <is>
          <t>Critical</t>
        </is>
      </c>
      <c r="H44" s="16" t="inlineStr">
        <is>
          <t>Not started</t>
        </is>
      </c>
      <c r="I44" s="16" t="inlineStr"/>
      <c r="J44" s="16" t="inlineStr"/>
      <c r="K44" s="16" t="inlineStr"/>
    </row>
    <row r="45">
      <c r="A45" s="16" t="inlineStr">
        <is>
          <t>PRE-044</t>
        </is>
      </c>
      <c r="B45" s="16" t="inlineStr">
        <is>
          <t>Testing</t>
        </is>
      </c>
      <c r="C45" s="16" t="inlineStr">
        <is>
          <t>Performance baseline captured on source</t>
        </is>
      </c>
      <c r="D45" s="16" t="inlineStr">
        <is>
          <t>Key transactions, batch runtimes, report durations.</t>
        </is>
      </c>
      <c r="E45" s="16" t="inlineStr">
        <is>
          <t>Azure Monitor, Log Analytics, Application Insights</t>
        </is>
      </c>
      <c r="F45" s="16" t="inlineStr"/>
      <c r="G45" s="16" t="inlineStr">
        <is>
          <t>High</t>
        </is>
      </c>
      <c r="H45" s="16" t="inlineStr">
        <is>
          <t>Not started</t>
        </is>
      </c>
      <c r="I45" s="16" t="inlineStr"/>
      <c r="J45" s="16" t="inlineStr"/>
      <c r="K45" s="16" t="inlineStr"/>
    </row>
    <row r="46">
      <c r="A46" s="16" t="inlineStr">
        <is>
          <t>PRE-045</t>
        </is>
      </c>
      <c r="B46" s="16" t="inlineStr">
        <is>
          <t>Testing</t>
        </is>
      </c>
      <c r="C46" s="16" t="inlineStr">
        <is>
          <t>Test migration / test failover completed for the wave</t>
        </is>
      </c>
      <c r="D46" s="16" t="inlineStr">
        <is>
          <t>Azure Migrate server migration / Azure Site Recovery</t>
        </is>
      </c>
      <c r="E46" s="16" t="inlineStr">
        <is>
          <t>Azure Migrate server migration / Azure Site Recovery</t>
        </is>
      </c>
      <c r="F46" s="16" t="inlineStr"/>
      <c r="G46" s="16" t="inlineStr">
        <is>
          <t>Critical</t>
        </is>
      </c>
      <c r="H46" s="16" t="inlineStr">
        <is>
          <t>Not started</t>
        </is>
      </c>
      <c r="I46" s="16" t="inlineStr"/>
      <c r="J46" s="16" t="inlineStr"/>
      <c r="K46" s="16" t="inlineStr"/>
    </row>
    <row r="47">
      <c r="A47" s="16" t="inlineStr">
        <is>
          <t>PRE-046</t>
        </is>
      </c>
      <c r="B47" s="16" t="inlineStr">
        <is>
          <t>Cutover readiness</t>
        </is>
      </c>
      <c r="C47" s="16" t="inlineStr">
        <is>
          <t>Cutover runbook rehearsed end-to-end</t>
        </is>
      </c>
      <c r="D47" s="16" t="inlineStr">
        <is>
          <t>Timed rehearsal; update durations.</t>
        </is>
      </c>
      <c r="E47" s="16" t="inlineStr">
        <is>
          <t>Cutover runbook</t>
        </is>
      </c>
      <c r="F47" s="16" t="inlineStr"/>
      <c r="G47" s="16" t="inlineStr">
        <is>
          <t>Critical</t>
        </is>
      </c>
      <c r="H47" s="16" t="inlineStr">
        <is>
          <t>Not started</t>
        </is>
      </c>
      <c r="I47" s="16" t="inlineStr"/>
      <c r="J47" s="16" t="inlineStr"/>
      <c r="K47" s="16" t="inlineStr"/>
    </row>
    <row r="48">
      <c r="A48" s="16" t="inlineStr">
        <is>
          <t>PRE-047</t>
        </is>
      </c>
      <c r="B48" s="16" t="inlineStr">
        <is>
          <t>Cutover readiness</t>
        </is>
      </c>
      <c r="C48" s="16" t="inlineStr">
        <is>
          <t>Rollback triggers and decision owner agreed</t>
        </is>
      </c>
      <c r="D48" s="16" t="inlineStr">
        <is>
          <t>Who calls rollback, at what time, on what evidence.</t>
        </is>
      </c>
      <c r="E48" s="16" t="inlineStr">
        <is>
          <t>Cutover runbook</t>
        </is>
      </c>
      <c r="F48" s="16" t="inlineStr"/>
      <c r="G48" s="16" t="inlineStr">
        <is>
          <t>Critical</t>
        </is>
      </c>
      <c r="H48" s="16" t="inlineStr">
        <is>
          <t>Not started</t>
        </is>
      </c>
      <c r="I48" s="16" t="inlineStr"/>
      <c r="J48" s="16" t="inlineStr"/>
      <c r="K48" s="16" t="inlineStr"/>
    </row>
    <row r="49">
      <c r="A49" s="16" t="inlineStr">
        <is>
          <t>PRE-048</t>
        </is>
      </c>
      <c r="B49" s="16" t="inlineStr">
        <is>
          <t>Cutover readiness</t>
        </is>
      </c>
      <c r="C49" s="16" t="inlineStr">
        <is>
          <t>Go / no-go meeting scheduled with quorum</t>
        </is>
      </c>
      <c r="D49" s="16" t="inlineStr">
        <is>
          <t>Business, IT, security, vendor.</t>
        </is>
      </c>
      <c r="E49" s="16" t="inlineStr">
        <is>
          <t>Go / no-go checklist</t>
        </is>
      </c>
      <c r="F49" s="16" t="inlineStr"/>
      <c r="G49" s="16" t="inlineStr">
        <is>
          <t>High</t>
        </is>
      </c>
      <c r="H49" s="16" t="inlineStr">
        <is>
          <t>Not started</t>
        </is>
      </c>
      <c r="I49" s="16" t="inlineStr"/>
      <c r="J49" s="16" t="inlineStr"/>
      <c r="K49" s="16" t="inlineStr"/>
    </row>
    <row r="50">
      <c r="A50" s="16" t="inlineStr">
        <is>
          <t>PRE-049</t>
        </is>
      </c>
      <c r="B50" s="16" t="inlineStr">
        <is>
          <t>Cutover readiness</t>
        </is>
      </c>
      <c r="C50" s="16" t="inlineStr">
        <is>
          <t>Replication healthy and lag within threshold</t>
        </is>
      </c>
      <c r="D50" s="16" t="inlineStr">
        <is>
          <t>Azure Migrate server migration / Azure Site Recovery</t>
        </is>
      </c>
      <c r="E50" s="16" t="inlineStr">
        <is>
          <t>Azure Migrate server migration / Azure Site Recovery</t>
        </is>
      </c>
      <c r="F50" s="16" t="inlineStr"/>
      <c r="G50" s="16" t="inlineStr">
        <is>
          <t>Critical</t>
        </is>
      </c>
      <c r="H50" s="16" t="inlineStr">
        <is>
          <t>Not started</t>
        </is>
      </c>
      <c r="I50" s="16" t="inlineStr"/>
      <c r="J50" s="16" t="inlineStr"/>
      <c r="K50" s="16" t="inlineStr"/>
    </row>
    <row r="51">
      <c r="A51" s="16" t="inlineStr">
        <is>
          <t>PRE-050</t>
        </is>
      </c>
      <c r="B51" s="16" t="inlineStr">
        <is>
          <t>Communications</t>
        </is>
      </c>
      <c r="C51" s="16" t="inlineStr">
        <is>
          <t>User and stakeholder communications sent</t>
        </is>
      </c>
      <c r="D51" s="16" t="inlineStr">
        <is>
          <t>Outage window, what changes, who to call.</t>
        </is>
      </c>
      <c r="E51" s="16" t="inlineStr">
        <is>
          <t>Comms plan</t>
        </is>
      </c>
      <c r="F51" s="16" t="inlineStr"/>
      <c r="G51" s="16" t="inlineStr">
        <is>
          <t>High</t>
        </is>
      </c>
      <c r="H51" s="16" t="inlineStr">
        <is>
          <t>Not started</t>
        </is>
      </c>
      <c r="I51" s="16" t="inlineStr"/>
      <c r="J51" s="16" t="inlineStr"/>
      <c r="K51" s="16" t="inlineStr"/>
    </row>
    <row r="52">
      <c r="A52" s="16" t="inlineStr">
        <is>
          <t>PRE-051</t>
        </is>
      </c>
      <c r="B52" s="16" t="inlineStr">
        <is>
          <t>Communications</t>
        </is>
      </c>
      <c r="C52" s="16" t="inlineStr">
        <is>
          <t>Service desk briefed with known issues and FAQs</t>
        </is>
      </c>
      <c r="D52" s="16" t="inlineStr">
        <is>
          <t>Temporary hypercare queue created.</t>
        </is>
      </c>
      <c r="E52" s="16" t="inlineStr">
        <is>
          <t>ITSM</t>
        </is>
      </c>
      <c r="F52" s="16" t="inlineStr"/>
      <c r="G52" s="16" t="inlineStr">
        <is>
          <t>Medium</t>
        </is>
      </c>
      <c r="H52" s="16" t="inlineStr">
        <is>
          <t>Not started</t>
        </is>
      </c>
      <c r="I52" s="16" t="inlineStr"/>
      <c r="J52" s="16" t="inlineStr"/>
      <c r="K52" s="16" t="inlineStr"/>
    </row>
    <row r="53">
      <c r="A53" s="16" t="inlineStr">
        <is>
          <t>PRE-052</t>
        </is>
      </c>
      <c r="B53" s="16" t="inlineStr">
        <is>
          <t>Operations readiness</t>
        </is>
      </c>
      <c r="C53" s="16" t="inlineStr">
        <is>
          <t>Monitoring and alerting configured on target before cutover</t>
        </is>
      </c>
      <c r="D53" s="16" t="inlineStr">
        <is>
          <t>Azure Monitor, Log Analytics, Application Insights</t>
        </is>
      </c>
      <c r="E53" s="16" t="inlineStr">
        <is>
          <t>Azure Monitor, Log Analytics, Application Insights</t>
        </is>
      </c>
      <c r="F53" s="16" t="inlineStr"/>
      <c r="G53" s="16" t="inlineStr">
        <is>
          <t>Critical</t>
        </is>
      </c>
      <c r="H53" s="16" t="inlineStr">
        <is>
          <t>Not started</t>
        </is>
      </c>
      <c r="I53" s="16" t="inlineStr"/>
      <c r="J53" s="16" t="inlineStr"/>
      <c r="K53" s="16" t="inlineStr"/>
    </row>
    <row r="54">
      <c r="A54" s="16" t="inlineStr">
        <is>
          <t>PRE-053</t>
        </is>
      </c>
      <c r="B54" s="16" t="inlineStr">
        <is>
          <t>Operations readiness</t>
        </is>
      </c>
      <c r="C54" s="16" t="inlineStr">
        <is>
          <t>Patching schedule and maintenance windows defined</t>
        </is>
      </c>
      <c r="D54" s="16" t="inlineStr">
        <is>
          <t>Azure Update Manager (Azure + Arc-enabled servers)</t>
        </is>
      </c>
      <c r="E54" s="16" t="inlineStr">
        <is>
          <t>Azure Update Manager (Azure + Arc-enabled servers)</t>
        </is>
      </c>
      <c r="F54" s="16" t="inlineStr"/>
      <c r="G54" s="16" t="inlineStr">
        <is>
          <t>High</t>
        </is>
      </c>
      <c r="H54" s="16" t="inlineStr">
        <is>
          <t>Not started</t>
        </is>
      </c>
      <c r="I54" s="16" t="inlineStr"/>
      <c r="J54" s="16" t="inlineStr"/>
      <c r="K54" s="16" t="inlineStr"/>
    </row>
    <row r="55">
      <c r="A55" s="16" t="inlineStr">
        <is>
          <t>PRE-054</t>
        </is>
      </c>
      <c r="B55" s="16" t="inlineStr">
        <is>
          <t>Operations readiness</t>
        </is>
      </c>
      <c r="C55" s="16" t="inlineStr">
        <is>
          <t>Runbooks and RACI handed to the operations team</t>
        </is>
      </c>
      <c r="D55" s="16" t="inlineStr">
        <is>
          <t>Run-team shadows the final rehearsal.</t>
        </is>
      </c>
      <c r="E55" s="16" t="inlineStr">
        <is>
          <t>Runbook &amp; RACI</t>
        </is>
      </c>
      <c r="F55" s="16" t="inlineStr"/>
      <c r="G55" s="16" t="inlineStr">
        <is>
          <t>High</t>
        </is>
      </c>
      <c r="H55" s="16" t="inlineStr">
        <is>
          <t>Not started</t>
        </is>
      </c>
      <c r="I55" s="16" t="inlineStr"/>
      <c r="J55" s="16" t="inlineStr"/>
      <c r="K55" s="16" t="inlineStr"/>
    </row>
    <row r="56">
      <c r="A56" s="16" t="inlineStr">
        <is>
          <t>PRE-055</t>
        </is>
      </c>
      <c r="B56" s="16" t="inlineStr">
        <is>
          <t>Operations readiness</t>
        </is>
      </c>
      <c r="C56" s="16" t="inlineStr">
        <is>
          <t>Cost budgets and anomaly alerts configured</t>
        </is>
      </c>
      <c r="D56" s="16" t="inlineStr">
        <is>
          <t>Microsoft Cost Management, budgets, Azure Advisor</t>
        </is>
      </c>
      <c r="E56" s="16" t="inlineStr">
        <is>
          <t>Microsoft Cost Management, budgets, Azure Advisor</t>
        </is>
      </c>
      <c r="F56" s="16" t="inlineStr"/>
      <c r="G56" s="16" t="inlineStr">
        <is>
          <t>Medium</t>
        </is>
      </c>
      <c r="H56" s="16" t="inlineStr">
        <is>
          <t>Not started</t>
        </is>
      </c>
      <c r="I56" s="16" t="inlineStr"/>
      <c r="J56" s="16" t="inlineStr"/>
      <c r="K56" s="16" t="inlineStr"/>
    </row>
  </sheetData>
  <autoFilter ref="A1:K56"/>
  <conditionalFormatting sqref="H2:H256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56">
    <cfRule type="cellIs" priority="4" operator="equal" dxfId="3">
      <formula>"Critical"</formula>
    </cfRule>
  </conditionalFormatting>
  <dataValidations count="2">
    <dataValidation sqref="H2:H256" showDropDown="0" showInputMessage="0" showErrorMessage="0" allowBlank="1" type="list">
      <formula1>"Not started,In progress,Done,Blocked,N/A"</formula1>
    </dataValidation>
    <dataValidation sqref="G2:G256" showDropDown="0" showInputMessage="0" showErrorMessage="0" allowBlank="1" type="list">
      <formula1>"Critical,High,Medium,Low"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azure-pre-migration-checklist.xlsx</dc:title>
  <dcterms:created xmlns:dcterms="http://purl.org/dc/terms/" xmlns:xsi="http://www.w3.org/2001/XMLSchema-instance" xsi:type="dcterms:W3CDTF">2026-10-21T09:23:49Z</dcterms:created>
  <dcterms:modified xmlns:dcterms="http://purl.org/dc/terms/" xmlns:xsi="http://www.w3.org/2001/XMLSchema-instance" xsi:type="dcterms:W3CDTF">2026-10-21T09:23:49Z</dcterms:modified>
</cp:coreProperties>
</file>