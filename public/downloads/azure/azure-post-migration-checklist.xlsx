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ecklist" sheetId="3" state="visible" r:id="rId3"/>
  </sheets>
  <definedNames>
    <definedName name="_xlnm._FilterDatabase" localSheetId="2" hidden="1">'Checklist'!$A$1:$K$36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b val="1"/>
    </font>
    <font>
      <i val="1"/>
      <color rgb="00676C6E"/>
      <sz val="9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pivotButton="0" quotePrefix="0" xfId="0"/>
    <xf numFmtId="0" fontId="5" fillId="0" borderId="2" pivotButton="0" quotePrefix="0" xfId="0"/>
    <xf numFmtId="9" fontId="5" fillId="0" borderId="2" pivotButton="0" quotePrefix="0" xfId="0"/>
    <xf numFmtId="0" fontId="8" fillId="0" borderId="0" pivotButton="0" quotePrefix="0" xfId="0"/>
    <xf numFmtId="9" fontId="0" fillId="0" borderId="0" pivotButton="0" quotePrefix="0" xfId="0"/>
    <xf numFmtId="0" fontId="9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  <dxf>
      <font>
        <b val="1"/>
        <color rgb="00C844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Post-Migration Checklist — Azure</t>
        </is>
      </c>
    </row>
    <row r="4">
      <c r="B4" s="3" t="inlineStr">
        <is>
          <t>Microsoft Azure · v1.0 · generated 21 Oct 2026</t>
        </is>
      </c>
    </row>
    <row r="6">
      <c r="B6" s="4" t="inlineStr">
        <is>
          <t>Purpose</t>
        </is>
      </c>
      <c r="C6" s="5" t="inlineStr">
        <is>
          <t>Validation and handover gate after each migration wave.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Copy the Checklist sheet once per wave (or filter by wave in the Wave column).</t>
        </is>
      </c>
    </row>
    <row r="14">
      <c r="C14" s="6" t="inlineStr">
        <is>
          <t>2. Assign an owner and due date to every item; set Status from the drop-down.</t>
        </is>
      </c>
    </row>
    <row r="15">
      <c r="C15" s="6" t="inlineStr">
        <is>
          <t>3. Attach evidence links in the Evidence column — auditors and funding reviewers will ask.</t>
        </is>
      </c>
    </row>
    <row r="16">
      <c r="C16" s="6" t="inlineStr">
        <is>
          <t>4. The Summary sheet calculates completion by area; go-live needs every Critical item Done or N/A.</t>
        </is>
      </c>
    </row>
    <row r="18">
      <c r="B18" s="4" t="inlineStr">
        <is>
          <t>Reference</t>
        </is>
      </c>
      <c r="C18" s="7" t="inlineStr">
        <is>
          <t>Target regions: Central India (Pune), South India (Chennai), West India (Mumbai)</t>
        </is>
      </c>
    </row>
    <row r="19">
      <c r="C19" s="7" t="inlineStr">
        <is>
          <t>Landing zone: Azure Landing Zones (CAF) — management groups, Azure Policy</t>
        </is>
      </c>
    </row>
    <row r="20">
      <c r="C20" s="7" t="inlineStr">
        <is>
          <t>Security baseline: Microsoft Cloud Security Benchmark / CIS Microsoft Azure Foundations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2" customWidth="1" min="4" max="4"/>
    <col width="10" customWidth="1" min="5" max="5"/>
    <col width="12" customWidth="1" min="6" max="6"/>
    <col width="8" customWidth="1" min="7" max="7"/>
    <col width="12" customWidth="1" min="8" max="8"/>
  </cols>
  <sheetData>
    <row r="1">
      <c r="A1" s="9" t="inlineStr">
        <is>
          <t>Area</t>
        </is>
      </c>
      <c r="B1" s="9" t="inlineStr">
        <is>
          <t>Items</t>
        </is>
      </c>
      <c r="C1" s="9" t="inlineStr">
        <is>
          <t>Done</t>
        </is>
      </c>
      <c r="D1" s="9" t="inlineStr">
        <is>
          <t>In progress</t>
        </is>
      </c>
      <c r="E1" s="9" t="inlineStr">
        <is>
          <t>Blocked</t>
        </is>
      </c>
      <c r="F1" s="9" t="inlineStr">
        <is>
          <t>Not started</t>
        </is>
      </c>
      <c r="G1" s="9" t="inlineStr">
        <is>
          <t>N/A</t>
        </is>
      </c>
      <c r="H1" s="9" t="inlineStr">
        <is>
          <t>% complete</t>
        </is>
      </c>
    </row>
    <row r="2">
      <c r="A2" s="10" t="inlineStr">
        <is>
          <t>Functional validation</t>
        </is>
      </c>
      <c r="B2" s="10">
        <f>COUNTIF('Checklist'!$B:$B,A2)</f>
        <v/>
      </c>
      <c r="C2" s="10">
        <f>COUNTIFS('Checklist'!$B:$B,$A2,'Checklist'!$H:$H,"Done")</f>
        <v/>
      </c>
      <c r="D2" s="10">
        <f>COUNTIFS('Checklist'!$B:$B,$A2,'Checklist'!$H:$H,"In progress")</f>
        <v/>
      </c>
      <c r="E2" s="10">
        <f>COUNTIFS('Checklist'!$B:$B,$A2,'Checklist'!$H:$H,"Blocked")</f>
        <v/>
      </c>
      <c r="F2" s="10">
        <f>COUNTIFS('Checklist'!$B:$B,$A2,'Checklist'!$H:$H,"Not started")</f>
        <v/>
      </c>
      <c r="G2" s="10">
        <f>COUNTIFS('Checklist'!$B:$B,$A2,'Checklist'!$H:$H,"N/A")</f>
        <v/>
      </c>
      <c r="H2" s="11">
        <f>IFERROR(C2/(B2-G2),0)</f>
        <v/>
      </c>
    </row>
    <row r="3">
      <c r="A3" s="10" t="inlineStr">
        <is>
          <t>Performance</t>
        </is>
      </c>
      <c r="B3" s="10">
        <f>COUNTIF('Checklist'!$B:$B,A3)</f>
        <v/>
      </c>
      <c r="C3" s="10">
        <f>COUNTIFS('Checklist'!$B:$B,$A3,'Checklist'!$H:$H,"Done")</f>
        <v/>
      </c>
      <c r="D3" s="10">
        <f>COUNTIFS('Checklist'!$B:$B,$A3,'Checklist'!$H:$H,"In progress")</f>
        <v/>
      </c>
      <c r="E3" s="10">
        <f>COUNTIFS('Checklist'!$B:$B,$A3,'Checklist'!$H:$H,"Blocked")</f>
        <v/>
      </c>
      <c r="F3" s="10">
        <f>COUNTIFS('Checklist'!$B:$B,$A3,'Checklist'!$H:$H,"Not started")</f>
        <v/>
      </c>
      <c r="G3" s="10">
        <f>COUNTIFS('Checklist'!$B:$B,$A3,'Checklist'!$H:$H,"N/A")</f>
        <v/>
      </c>
      <c r="H3" s="11">
        <f>IFERROR(C3/(B3-G3),0)</f>
        <v/>
      </c>
    </row>
    <row r="4">
      <c r="A4" s="10" t="inlineStr">
        <is>
          <t>Data integrity</t>
        </is>
      </c>
      <c r="B4" s="10">
        <f>COUNTIF('Checklist'!$B:$B,A4)</f>
        <v/>
      </c>
      <c r="C4" s="10">
        <f>COUNTIFS('Checklist'!$B:$B,$A4,'Checklist'!$H:$H,"Done")</f>
        <v/>
      </c>
      <c r="D4" s="10">
        <f>COUNTIFS('Checklist'!$B:$B,$A4,'Checklist'!$H:$H,"In progress")</f>
        <v/>
      </c>
      <c r="E4" s="10">
        <f>COUNTIFS('Checklist'!$B:$B,$A4,'Checklist'!$H:$H,"Blocked")</f>
        <v/>
      </c>
      <c r="F4" s="10">
        <f>COUNTIFS('Checklist'!$B:$B,$A4,'Checklist'!$H:$H,"Not started")</f>
        <v/>
      </c>
      <c r="G4" s="10">
        <f>COUNTIFS('Checklist'!$B:$B,$A4,'Checklist'!$H:$H,"N/A")</f>
        <v/>
      </c>
      <c r="H4" s="11">
        <f>IFERROR(C4/(B4-G4),0)</f>
        <v/>
      </c>
    </row>
    <row r="5">
      <c r="A5" s="10" t="inlineStr">
        <is>
          <t>Security</t>
        </is>
      </c>
      <c r="B5" s="10">
        <f>COUNTIF('Checklist'!$B:$B,A5)</f>
        <v/>
      </c>
      <c r="C5" s="10">
        <f>COUNTIFS('Checklist'!$B:$B,$A5,'Checklist'!$H:$H,"Done")</f>
        <v/>
      </c>
      <c r="D5" s="10">
        <f>COUNTIFS('Checklist'!$B:$B,$A5,'Checklist'!$H:$H,"In progress")</f>
        <v/>
      </c>
      <c r="E5" s="10">
        <f>COUNTIFS('Checklist'!$B:$B,$A5,'Checklist'!$H:$H,"Blocked")</f>
        <v/>
      </c>
      <c r="F5" s="10">
        <f>COUNTIFS('Checklist'!$B:$B,$A5,'Checklist'!$H:$H,"Not started")</f>
        <v/>
      </c>
      <c r="G5" s="10">
        <f>COUNTIFS('Checklist'!$B:$B,$A5,'Checklist'!$H:$H,"N/A")</f>
        <v/>
      </c>
      <c r="H5" s="11">
        <f>IFERROR(C5/(B5-G5),0)</f>
        <v/>
      </c>
    </row>
    <row r="6">
      <c r="A6" s="10" t="inlineStr">
        <is>
          <t>Monitoring</t>
        </is>
      </c>
      <c r="B6" s="10">
        <f>COUNTIF('Checklist'!$B:$B,A6)</f>
        <v/>
      </c>
      <c r="C6" s="10">
        <f>COUNTIFS('Checklist'!$B:$B,$A6,'Checklist'!$H:$H,"Done")</f>
        <v/>
      </c>
      <c r="D6" s="10">
        <f>COUNTIFS('Checklist'!$B:$B,$A6,'Checklist'!$H:$H,"In progress")</f>
        <v/>
      </c>
      <c r="E6" s="10">
        <f>COUNTIFS('Checklist'!$B:$B,$A6,'Checklist'!$H:$H,"Blocked")</f>
        <v/>
      </c>
      <c r="F6" s="10">
        <f>COUNTIFS('Checklist'!$B:$B,$A6,'Checklist'!$H:$H,"Not started")</f>
        <v/>
      </c>
      <c r="G6" s="10">
        <f>COUNTIFS('Checklist'!$B:$B,$A6,'Checklist'!$H:$H,"N/A")</f>
        <v/>
      </c>
      <c r="H6" s="11">
        <f>IFERROR(C6/(B6-G6),0)</f>
        <v/>
      </c>
    </row>
    <row r="7">
      <c r="A7" s="10" t="inlineStr">
        <is>
          <t>Backup &amp; DR</t>
        </is>
      </c>
      <c r="B7" s="10">
        <f>COUNTIF('Checklist'!$B:$B,A7)</f>
        <v/>
      </c>
      <c r="C7" s="10">
        <f>COUNTIFS('Checklist'!$B:$B,$A7,'Checklist'!$H:$H,"Done")</f>
        <v/>
      </c>
      <c r="D7" s="10">
        <f>COUNTIFS('Checklist'!$B:$B,$A7,'Checklist'!$H:$H,"In progress")</f>
        <v/>
      </c>
      <c r="E7" s="10">
        <f>COUNTIFS('Checklist'!$B:$B,$A7,'Checklist'!$H:$H,"Blocked")</f>
        <v/>
      </c>
      <c r="F7" s="10">
        <f>COUNTIFS('Checklist'!$B:$B,$A7,'Checklist'!$H:$H,"Not started")</f>
        <v/>
      </c>
      <c r="G7" s="10">
        <f>COUNTIFS('Checklist'!$B:$B,$A7,'Checklist'!$H:$H,"N/A")</f>
        <v/>
      </c>
      <c r="H7" s="11">
        <f>IFERROR(C7/(B7-G7),0)</f>
        <v/>
      </c>
    </row>
    <row r="8">
      <c r="A8" s="10" t="inlineStr">
        <is>
          <t>Cost &amp; tagging</t>
        </is>
      </c>
      <c r="B8" s="10">
        <f>COUNTIF('Checklist'!$B:$B,A8)</f>
        <v/>
      </c>
      <c r="C8" s="10">
        <f>COUNTIFS('Checklist'!$B:$B,$A8,'Checklist'!$H:$H,"Done")</f>
        <v/>
      </c>
      <c r="D8" s="10">
        <f>COUNTIFS('Checklist'!$B:$B,$A8,'Checklist'!$H:$H,"In progress")</f>
        <v/>
      </c>
      <c r="E8" s="10">
        <f>COUNTIFS('Checklist'!$B:$B,$A8,'Checklist'!$H:$H,"Blocked")</f>
        <v/>
      </c>
      <c r="F8" s="10">
        <f>COUNTIFS('Checklist'!$B:$B,$A8,'Checklist'!$H:$H,"Not started")</f>
        <v/>
      </c>
      <c r="G8" s="10">
        <f>COUNTIFS('Checklist'!$B:$B,$A8,'Checklist'!$H:$H,"N/A")</f>
        <v/>
      </c>
      <c r="H8" s="11">
        <f>IFERROR(C8/(B8-G8),0)</f>
        <v/>
      </c>
    </row>
    <row r="9">
      <c r="A9" s="10" t="inlineStr">
        <is>
          <t>Operations handover</t>
        </is>
      </c>
      <c r="B9" s="10">
        <f>COUNTIF('Checklist'!$B:$B,A9)</f>
        <v/>
      </c>
      <c r="C9" s="10">
        <f>COUNTIFS('Checklist'!$B:$B,$A9,'Checklist'!$H:$H,"Done")</f>
        <v/>
      </c>
      <c r="D9" s="10">
        <f>COUNTIFS('Checklist'!$B:$B,$A9,'Checklist'!$H:$H,"In progress")</f>
        <v/>
      </c>
      <c r="E9" s="10">
        <f>COUNTIFS('Checklist'!$B:$B,$A9,'Checklist'!$H:$H,"Blocked")</f>
        <v/>
      </c>
      <c r="F9" s="10">
        <f>COUNTIFS('Checklist'!$B:$B,$A9,'Checklist'!$H:$H,"Not started")</f>
        <v/>
      </c>
      <c r="G9" s="10">
        <f>COUNTIFS('Checklist'!$B:$B,$A9,'Checklist'!$H:$H,"N/A")</f>
        <v/>
      </c>
      <c r="H9" s="11">
        <f>IFERROR(C9/(B9-G9),0)</f>
        <v/>
      </c>
    </row>
    <row r="10">
      <c r="A10" s="10" t="inlineStr">
        <is>
          <t>Decommission</t>
        </is>
      </c>
      <c r="B10" s="10">
        <f>COUNTIF('Checklist'!$B:$B,A10)</f>
        <v/>
      </c>
      <c r="C10" s="10">
        <f>COUNTIFS('Checklist'!$B:$B,$A10,'Checklist'!$H:$H,"Done")</f>
        <v/>
      </c>
      <c r="D10" s="10">
        <f>COUNTIFS('Checklist'!$B:$B,$A10,'Checklist'!$H:$H,"In progress")</f>
        <v/>
      </c>
      <c r="E10" s="10">
        <f>COUNTIFS('Checklist'!$B:$B,$A10,'Checklist'!$H:$H,"Blocked")</f>
        <v/>
      </c>
      <c r="F10" s="10">
        <f>COUNTIFS('Checklist'!$B:$B,$A10,'Checklist'!$H:$H,"Not started")</f>
        <v/>
      </c>
      <c r="G10" s="10">
        <f>COUNTIFS('Checklist'!$B:$B,$A10,'Checklist'!$H:$H,"N/A")</f>
        <v/>
      </c>
      <c r="H10" s="11">
        <f>IFERROR(C10/(B10-G10),0)</f>
        <v/>
      </c>
    </row>
    <row r="11">
      <c r="A11" s="10" t="inlineStr">
        <is>
          <t>Documentation</t>
        </is>
      </c>
      <c r="B11" s="10">
        <f>COUNTIF('Checklist'!$B:$B,A11)</f>
        <v/>
      </c>
      <c r="C11" s="10">
        <f>COUNTIFS('Checklist'!$B:$B,$A11,'Checklist'!$H:$H,"Done")</f>
        <v/>
      </c>
      <c r="D11" s="10">
        <f>COUNTIFS('Checklist'!$B:$B,$A11,'Checklist'!$H:$H,"In progress")</f>
        <v/>
      </c>
      <c r="E11" s="10">
        <f>COUNTIFS('Checklist'!$B:$B,$A11,'Checklist'!$H:$H,"Blocked")</f>
        <v/>
      </c>
      <c r="F11" s="10">
        <f>COUNTIFS('Checklist'!$B:$B,$A11,'Checklist'!$H:$H,"Not started")</f>
        <v/>
      </c>
      <c r="G11" s="10">
        <f>COUNTIFS('Checklist'!$B:$B,$A11,'Checklist'!$H:$H,"N/A")</f>
        <v/>
      </c>
      <c r="H11" s="11">
        <f>IFERROR(C11/(B11-G11),0)</f>
        <v/>
      </c>
    </row>
    <row r="12">
      <c r="A12" s="10" t="inlineStr">
        <is>
          <t>Business sign-off</t>
        </is>
      </c>
      <c r="B12" s="10">
        <f>COUNTIF('Checklist'!$B:$B,A12)</f>
        <v/>
      </c>
      <c r="C12" s="10">
        <f>COUNTIFS('Checklist'!$B:$B,$A12,'Checklist'!$H:$H,"Done")</f>
        <v/>
      </c>
      <c r="D12" s="10">
        <f>COUNTIFS('Checklist'!$B:$B,$A12,'Checklist'!$H:$H,"In progress")</f>
        <v/>
      </c>
      <c r="E12" s="10">
        <f>COUNTIFS('Checklist'!$B:$B,$A12,'Checklist'!$H:$H,"Blocked")</f>
        <v/>
      </c>
      <c r="F12" s="10">
        <f>COUNTIFS('Checklist'!$B:$B,$A12,'Checklist'!$H:$H,"Not started")</f>
        <v/>
      </c>
      <c r="G12" s="10">
        <f>COUNTIFS('Checklist'!$B:$B,$A12,'Checklist'!$H:$H,"N/A")</f>
        <v/>
      </c>
      <c r="H12" s="11">
        <f>IFERROR(C12/(B12-G12),0)</f>
        <v/>
      </c>
    </row>
    <row r="13">
      <c r="A13" s="12" t="inlineStr">
        <is>
          <t>Total</t>
        </is>
      </c>
      <c r="B13" s="12">
        <f>SUM(B2:B12)</f>
        <v/>
      </c>
      <c r="C13" s="12">
        <f>SUM(C2:C12)</f>
        <v/>
      </c>
      <c r="D13" s="12">
        <f>SUM(D2:D12)</f>
        <v/>
      </c>
      <c r="E13" s="12">
        <f>SUM(E2:E12)</f>
        <v/>
      </c>
      <c r="F13" s="12">
        <f>SUM(F2:F12)</f>
        <v/>
      </c>
      <c r="G13" s="12">
        <f>SUM(G2:G12)</f>
        <v/>
      </c>
      <c r="H13" s="13">
        <f>IFERROR(C13/(B13-G13),0)</f>
        <v/>
      </c>
    </row>
    <row r="15">
      <c r="A15" s="14" t="inlineStr">
        <is>
          <t>Go-live readiness rule: all Critical items Done or N/A, no Blocked items, ≥ 90% overall.</t>
        </is>
      </c>
    </row>
    <row r="16">
      <c r="A16" t="inlineStr">
        <is>
          <t>Critical items not yet Done</t>
        </is>
      </c>
      <c r="B16">
        <f>COUNTIFS('Checklist'!$G:$G,"Critical",'Checklist'!$H:$H,"&lt;&gt;Done",'Checklist'!$H:$H,"&lt;&gt;N/A",'Checklist'!$A:$A,"&lt;&gt;ID")</f>
        <v/>
      </c>
    </row>
  </sheetData>
  <conditionalFormatting sqref="H2:H13">
    <cfRule type="cellIs" priority="1" operator="greaterThanOrEqual" dxfId="0">
      <formula>1</formula>
    </cfRule>
    <cfRule type="cellIs" priority="2" operator="lessThan" dxfId="1">
      <formula>0.5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52" customWidth="1" min="4" max="4"/>
    <col width="40" customWidth="1" min="5" max="5"/>
    <col width="18" customWidth="1" min="6" max="6"/>
    <col width="11" customWidth="1" min="7" max="7"/>
    <col width="13" customWidth="1" min="8" max="8"/>
    <col width="12" customWidth="1" min="9" max="9"/>
    <col width="10" customWidth="1" min="10" max="10"/>
    <col width="40" customWidth="1" min="11" max="11"/>
  </cols>
  <sheetData>
    <row r="1" ht="30" customHeight="1">
      <c r="A1" s="15" t="inlineStr">
        <is>
          <t>ID</t>
        </is>
      </c>
      <c r="B1" s="15" t="inlineStr">
        <is>
          <t>Area</t>
        </is>
      </c>
      <c r="C1" s="15" t="inlineStr">
        <is>
          <t>Item</t>
        </is>
      </c>
      <c r="D1" s="15" t="inlineStr">
        <is>
          <t>Guidance</t>
        </is>
      </c>
      <c r="E1" s="15" t="inlineStr">
        <is>
          <t>Azure tool / reference</t>
        </is>
      </c>
      <c r="F1" s="15" t="inlineStr">
        <is>
          <t>Owner</t>
        </is>
      </c>
      <c r="G1" s="15" t="inlineStr">
        <is>
          <t>Priority</t>
        </is>
      </c>
      <c r="H1" s="15" t="inlineStr">
        <is>
          <t>Status</t>
        </is>
      </c>
      <c r="I1" s="15" t="inlineStr">
        <is>
          <t>Due date</t>
        </is>
      </c>
      <c r="J1" s="15" t="inlineStr">
        <is>
          <t>Wave</t>
        </is>
      </c>
      <c r="K1" s="15" t="inlineStr">
        <is>
          <t>Evidence / notes</t>
        </is>
      </c>
    </row>
    <row r="2">
      <c r="A2" s="16" t="inlineStr">
        <is>
          <t>POST-001</t>
        </is>
      </c>
      <c r="B2" s="16" t="inlineStr">
        <is>
          <t>Functional validation</t>
        </is>
      </c>
      <c r="C2" s="16" t="inlineStr">
        <is>
          <t>Application smoke tests passed</t>
        </is>
      </c>
      <c r="D2" s="16" t="inlineStr">
        <is>
          <t>Log-in, key transactions, reports, integrations.</t>
        </is>
      </c>
      <c r="E2" s="16" t="inlineStr">
        <is>
          <t>UAT scripts</t>
        </is>
      </c>
      <c r="F2" s="16" t="inlineStr"/>
      <c r="G2" s="16" t="inlineStr">
        <is>
          <t>Critical</t>
        </is>
      </c>
      <c r="H2" s="16" t="inlineStr">
        <is>
          <t>Not started</t>
        </is>
      </c>
      <c r="I2" s="16" t="inlineStr"/>
      <c r="J2" s="16" t="inlineStr"/>
      <c r="K2" s="16" t="inlineStr"/>
    </row>
    <row r="3">
      <c r="A3" s="16" t="inlineStr">
        <is>
          <t>POST-002</t>
        </is>
      </c>
      <c r="B3" s="16" t="inlineStr">
        <is>
          <t>Functional validation</t>
        </is>
      </c>
      <c r="C3" s="16" t="inlineStr">
        <is>
          <t>End-to-end business process tested by the owner</t>
        </is>
      </c>
      <c r="D3" s="16" t="inlineStr">
        <is>
          <t>Owner signs the result, not the project team.</t>
        </is>
      </c>
      <c r="E3" s="16" t="inlineStr">
        <is>
          <t>UAT sign-off</t>
        </is>
      </c>
      <c r="F3" s="16" t="inlineStr"/>
      <c r="G3" s="16" t="inlineStr">
        <is>
          <t>Critical</t>
        </is>
      </c>
      <c r="H3" s="16" t="inlineStr">
        <is>
          <t>Not started</t>
        </is>
      </c>
      <c r="I3" s="16" t="inlineStr"/>
      <c r="J3" s="16" t="inlineStr"/>
      <c r="K3" s="16" t="inlineStr"/>
    </row>
    <row r="4">
      <c r="A4" s="16" t="inlineStr">
        <is>
          <t>POST-003</t>
        </is>
      </c>
      <c r="B4" s="16" t="inlineStr">
        <is>
          <t>Functional validation</t>
        </is>
      </c>
      <c r="C4" s="16" t="inlineStr">
        <is>
          <t>Integrations and interfaces confirmed (inbound and outbound)</t>
        </is>
      </c>
      <c r="D4" s="16" t="inlineStr">
        <is>
          <t>Payment gateways, SaaS, partners, file drops.</t>
        </is>
      </c>
      <c r="E4" s="16" t="inlineStr">
        <is>
          <t>Integration register</t>
        </is>
      </c>
      <c r="F4" s="16" t="inlineStr"/>
      <c r="G4" s="16" t="inlineStr">
        <is>
          <t>Critical</t>
        </is>
      </c>
      <c r="H4" s="16" t="inlineStr">
        <is>
          <t>Not started</t>
        </is>
      </c>
      <c r="I4" s="16" t="inlineStr"/>
      <c r="J4" s="16" t="inlineStr"/>
      <c r="K4" s="16" t="inlineStr"/>
    </row>
    <row r="5">
      <c r="A5" s="16" t="inlineStr">
        <is>
          <t>POST-004</t>
        </is>
      </c>
      <c r="B5" s="16" t="inlineStr">
        <is>
          <t>Functional validation</t>
        </is>
      </c>
      <c r="C5" s="16" t="inlineStr">
        <is>
          <t>Batch jobs ran successfully on schedule</t>
        </is>
      </c>
      <c r="D5" s="16" t="inlineStr">
        <is>
          <t>Compare runtime with the source baseline.</t>
        </is>
      </c>
      <c r="E5" s="16" t="inlineStr">
        <is>
          <t>Scheduler logs</t>
        </is>
      </c>
      <c r="F5" s="16" t="inlineStr"/>
      <c r="G5" s="16" t="inlineStr">
        <is>
          <t>High</t>
        </is>
      </c>
      <c r="H5" s="16" t="inlineStr">
        <is>
          <t>Not started</t>
        </is>
      </c>
      <c r="I5" s="16" t="inlineStr"/>
      <c r="J5" s="16" t="inlineStr"/>
      <c r="K5" s="16" t="inlineStr"/>
    </row>
    <row r="6">
      <c r="A6" s="16" t="inlineStr">
        <is>
          <t>POST-005</t>
        </is>
      </c>
      <c r="B6" s="16" t="inlineStr">
        <is>
          <t>Functional validation</t>
        </is>
      </c>
      <c r="C6" s="16" t="inlineStr">
        <is>
          <t>Email / SMTP relay, printing and file shares working</t>
        </is>
      </c>
      <c r="D6" s="16" t="inlineStr">
        <is>
          <t>Often forgotten until Monday morning.</t>
        </is>
      </c>
      <c r="E6" s="16" t="inlineStr">
        <is>
          <t>Smoke tests</t>
        </is>
      </c>
      <c r="F6" s="16" t="inlineStr"/>
      <c r="G6" s="16" t="inlineStr">
        <is>
          <t>Medium</t>
        </is>
      </c>
      <c r="H6" s="16" t="inlineStr">
        <is>
          <t>Not started</t>
        </is>
      </c>
      <c r="I6" s="16" t="inlineStr"/>
      <c r="J6" s="16" t="inlineStr"/>
      <c r="K6" s="16" t="inlineStr"/>
    </row>
    <row r="7">
      <c r="A7" s="16" t="inlineStr">
        <is>
          <t>POST-006</t>
        </is>
      </c>
      <c r="B7" s="16" t="inlineStr">
        <is>
          <t>Performance</t>
        </is>
      </c>
      <c r="C7" s="16" t="inlineStr">
        <is>
          <t>Key transaction response times within baseline tolerance</t>
        </is>
      </c>
      <c r="D7" s="16" t="inlineStr">
        <is>
          <t>Typical tolerance ± 10%.</t>
        </is>
      </c>
      <c r="E7" s="16" t="inlineStr">
        <is>
          <t>Azure Monitor, Log Analytics, Application Insights</t>
        </is>
      </c>
      <c r="F7" s="16" t="inlineStr"/>
      <c r="G7" s="16" t="inlineStr">
        <is>
          <t>High</t>
        </is>
      </c>
      <c r="H7" s="16" t="inlineStr">
        <is>
          <t>Not started</t>
        </is>
      </c>
      <c r="I7" s="16" t="inlineStr"/>
      <c r="J7" s="16" t="inlineStr"/>
      <c r="K7" s="16" t="inlineStr"/>
    </row>
    <row r="8">
      <c r="A8" s="16" t="inlineStr">
        <is>
          <t>POST-007</t>
        </is>
      </c>
      <c r="B8" s="16" t="inlineStr">
        <is>
          <t>Performance</t>
        </is>
      </c>
      <c r="C8" s="16" t="inlineStr">
        <is>
          <t>Resource utilisation reviewed after 7 days</t>
        </is>
      </c>
      <c r="D8" s="16" t="inlineStr">
        <is>
          <t>Right-size over- and under-provisioned resources.</t>
        </is>
      </c>
      <c r="E8" s="16" t="inlineStr">
        <is>
          <t>Azure Monitor, Log Analytics, Application Insights</t>
        </is>
      </c>
      <c r="F8" s="16" t="inlineStr"/>
      <c r="G8" s="16" t="inlineStr">
        <is>
          <t>Medium</t>
        </is>
      </c>
      <c r="H8" s="16" t="inlineStr">
        <is>
          <t>Not started</t>
        </is>
      </c>
      <c r="I8" s="16" t="inlineStr"/>
      <c r="J8" s="16" t="inlineStr"/>
      <c r="K8" s="16" t="inlineStr"/>
    </row>
    <row r="9">
      <c r="A9" s="16" t="inlineStr">
        <is>
          <t>POST-008</t>
        </is>
      </c>
      <c r="B9" s="16" t="inlineStr">
        <is>
          <t>Performance</t>
        </is>
      </c>
      <c r="C9" s="16" t="inlineStr">
        <is>
          <t>Database wait events / query performance reviewed</t>
        </is>
      </c>
      <c r="D9" s="16" t="inlineStr">
        <is>
          <t>Compare top SQL with the source.</t>
        </is>
      </c>
      <c r="E9" s="16" t="inlineStr">
        <is>
          <t>DB monitoring</t>
        </is>
      </c>
      <c r="F9" s="16" t="inlineStr"/>
      <c r="G9" s="16" t="inlineStr">
        <is>
          <t>High</t>
        </is>
      </c>
      <c r="H9" s="16" t="inlineStr">
        <is>
          <t>Not started</t>
        </is>
      </c>
      <c r="I9" s="16" t="inlineStr"/>
      <c r="J9" s="16" t="inlineStr"/>
      <c r="K9" s="16" t="inlineStr"/>
    </row>
    <row r="10">
      <c r="A10" s="16" t="inlineStr">
        <is>
          <t>POST-009</t>
        </is>
      </c>
      <c r="B10" s="16" t="inlineStr">
        <is>
          <t>Data integrity</t>
        </is>
      </c>
      <c r="C10" s="16" t="inlineStr">
        <is>
          <t>Row counts and checksums reconciled</t>
        </is>
      </c>
      <c r="D10" s="16" t="inlineStr">
        <is>
          <t>All tables or a signed sample for very large tables.</t>
        </is>
      </c>
      <c r="E10" s="16" t="inlineStr">
        <is>
          <t>Validation scripts</t>
        </is>
      </c>
      <c r="F10" s="16" t="inlineStr"/>
      <c r="G10" s="16" t="inlineStr">
        <is>
          <t>Critical</t>
        </is>
      </c>
      <c r="H10" s="16" t="inlineStr">
        <is>
          <t>Not started</t>
        </is>
      </c>
      <c r="I10" s="16" t="inlineStr"/>
      <c r="J10" s="16" t="inlineStr"/>
      <c r="K10" s="16" t="inlineStr"/>
    </row>
    <row r="11">
      <c r="A11" s="16" t="inlineStr">
        <is>
          <t>POST-010</t>
        </is>
      </c>
      <c r="B11" s="16" t="inlineStr">
        <is>
          <t>Data integrity</t>
        </is>
      </c>
      <c r="C11" s="16" t="inlineStr">
        <is>
          <t>Business control totals match (e.g. ledger balances)</t>
        </is>
      </c>
      <c r="D11" s="16" t="inlineStr">
        <is>
          <t>Signed by finance or the data owner.</t>
        </is>
      </c>
      <c r="E11" s="16" t="inlineStr">
        <is>
          <t>Reconciliation report</t>
        </is>
      </c>
      <c r="F11" s="16" t="inlineStr"/>
      <c r="G11" s="16" t="inlineStr">
        <is>
          <t>Critical</t>
        </is>
      </c>
      <c r="H11" s="16" t="inlineStr">
        <is>
          <t>Not started</t>
        </is>
      </c>
      <c r="I11" s="16" t="inlineStr"/>
      <c r="J11" s="16" t="inlineStr"/>
      <c r="K11" s="16" t="inlineStr"/>
    </row>
    <row r="12">
      <c r="A12" s="16" t="inlineStr">
        <is>
          <t>POST-011</t>
        </is>
      </c>
      <c r="B12" s="16" t="inlineStr">
        <is>
          <t>Data integrity</t>
        </is>
      </c>
      <c r="C12" s="16" t="inlineStr">
        <is>
          <t>Replication / CDC stopped and source set read-only</t>
        </is>
      </c>
      <c r="D12" s="16" t="inlineStr">
        <is>
          <t>Prevents split-brain writes.</t>
        </is>
      </c>
      <c r="E12" s="16" t="inlineStr">
        <is>
          <t>Azure Database Migration Service / SQL Managed Instance link</t>
        </is>
      </c>
      <c r="F12" s="16" t="inlineStr"/>
      <c r="G12" s="16" t="inlineStr">
        <is>
          <t>Critical</t>
        </is>
      </c>
      <c r="H12" s="16" t="inlineStr">
        <is>
          <t>Not started</t>
        </is>
      </c>
      <c r="I12" s="16" t="inlineStr"/>
      <c r="J12" s="16" t="inlineStr"/>
      <c r="K12" s="16" t="inlineStr"/>
    </row>
    <row r="13">
      <c r="A13" s="16" t="inlineStr">
        <is>
          <t>POST-012</t>
        </is>
      </c>
      <c r="B13" s="16" t="inlineStr">
        <is>
          <t>Security</t>
        </is>
      </c>
      <c r="C13" s="16" t="inlineStr">
        <is>
          <t>Security posture score reviewed for new resources</t>
        </is>
      </c>
      <c r="D13" s="16" t="inlineStr">
        <is>
          <t>Microsoft Defender for Cloud (Defender CSPM, Secure Score)</t>
        </is>
      </c>
      <c r="E13" s="16" t="inlineStr">
        <is>
          <t>Microsoft Cloud Security Benchmark / CIS Microsoft Azure Foundations</t>
        </is>
      </c>
      <c r="F13" s="16" t="inlineStr"/>
      <c r="G13" s="16" t="inlineStr">
        <is>
          <t>High</t>
        </is>
      </c>
      <c r="H13" s="16" t="inlineStr">
        <is>
          <t>Not started</t>
        </is>
      </c>
      <c r="I13" s="16" t="inlineStr"/>
      <c r="J13" s="16" t="inlineStr"/>
      <c r="K13" s="16" t="inlineStr"/>
    </row>
    <row r="14">
      <c r="A14" s="16" t="inlineStr">
        <is>
          <t>POST-013</t>
        </is>
      </c>
      <c r="B14" s="16" t="inlineStr">
        <is>
          <t>Security</t>
        </is>
      </c>
      <c r="C14" s="16" t="inlineStr">
        <is>
          <t>No public exposure beyond design (ports, buckets, endpoints)</t>
        </is>
      </c>
      <c r="D14" s="16" t="inlineStr">
        <is>
          <t>Scan external attack surface.</t>
        </is>
      </c>
      <c r="E14" s="16" t="inlineStr">
        <is>
          <t>Microsoft Defender for Cloud (Defender CSPM, Secure Score)</t>
        </is>
      </c>
      <c r="F14" s="16" t="inlineStr"/>
      <c r="G14" s="16" t="inlineStr">
        <is>
          <t>Critical</t>
        </is>
      </c>
      <c r="H14" s="16" t="inlineStr">
        <is>
          <t>Not started</t>
        </is>
      </c>
      <c r="I14" s="16" t="inlineStr"/>
      <c r="J14" s="16" t="inlineStr"/>
      <c r="K14" s="16" t="inlineStr"/>
    </row>
    <row r="15">
      <c r="A15" s="16" t="inlineStr">
        <is>
          <t>POST-014</t>
        </is>
      </c>
      <c r="B15" s="16" t="inlineStr">
        <is>
          <t>Security</t>
        </is>
      </c>
      <c r="C15" s="16" t="inlineStr">
        <is>
          <t>Logs flowing to central logging and SIEM</t>
        </is>
      </c>
      <c r="D15" s="16" t="inlineStr">
        <is>
          <t>Microsoft Sentinel</t>
        </is>
      </c>
      <c r="E15" s="16" t="inlineStr">
        <is>
          <t>Diagnostic settings to a central Log Analytics workspace; Activity Log export</t>
        </is>
      </c>
      <c r="F15" s="16" t="inlineStr"/>
      <c r="G15" s="16" t="inlineStr">
        <is>
          <t>Critical</t>
        </is>
      </c>
      <c r="H15" s="16" t="inlineStr">
        <is>
          <t>Not started</t>
        </is>
      </c>
      <c r="I15" s="16" t="inlineStr"/>
      <c r="J15" s="16" t="inlineStr"/>
      <c r="K15" s="16" t="inlineStr"/>
    </row>
    <row r="16">
      <c r="A16" s="16" t="inlineStr">
        <is>
          <t>POST-015</t>
        </is>
      </c>
      <c r="B16" s="16" t="inlineStr">
        <is>
          <t>Security</t>
        </is>
      </c>
      <c r="C16" s="16" t="inlineStr">
        <is>
          <t>Privileged access reviewed; temporary migration access removed</t>
        </is>
      </c>
      <c r="D16" s="16" t="inlineStr">
        <is>
          <t>Remove migration service accounts and keys.</t>
        </is>
      </c>
      <c r="E16" s="16" t="inlineStr">
        <is>
          <t>Microsoft Entra ID with Privileged Identity Management and Conditional Access</t>
        </is>
      </c>
      <c r="F16" s="16" t="inlineStr"/>
      <c r="G16" s="16" t="inlineStr">
        <is>
          <t>Critical</t>
        </is>
      </c>
      <c r="H16" s="16" t="inlineStr">
        <is>
          <t>Not started</t>
        </is>
      </c>
      <c r="I16" s="16" t="inlineStr"/>
      <c r="J16" s="16" t="inlineStr"/>
      <c r="K16" s="16" t="inlineStr"/>
    </row>
    <row r="17">
      <c r="A17" s="16" t="inlineStr">
        <is>
          <t>POST-016</t>
        </is>
      </c>
      <c r="B17" s="16" t="inlineStr">
        <is>
          <t>Security</t>
        </is>
      </c>
      <c r="C17" s="16" t="inlineStr">
        <is>
          <t>Encryption and key ownership verified</t>
        </is>
      </c>
      <c r="D17" s="16" t="inlineStr">
        <is>
          <t>Azure Key Vault / Managed HSM with customer-managed keys</t>
        </is>
      </c>
      <c r="E17" s="16" t="inlineStr">
        <is>
          <t>Azure Key Vault / Managed HSM with customer-managed keys</t>
        </is>
      </c>
      <c r="F17" s="16" t="inlineStr"/>
      <c r="G17" s="16" t="inlineStr">
        <is>
          <t>High</t>
        </is>
      </c>
      <c r="H17" s="16" t="inlineStr">
        <is>
          <t>Not started</t>
        </is>
      </c>
      <c r="I17" s="16" t="inlineStr"/>
      <c r="J17" s="16" t="inlineStr"/>
      <c r="K17" s="16" t="inlineStr"/>
    </row>
    <row r="18">
      <c r="A18" s="16" t="inlineStr">
        <is>
          <t>POST-017</t>
        </is>
      </c>
      <c r="B18" s="16" t="inlineStr">
        <is>
          <t>Monitoring</t>
        </is>
      </c>
      <c r="C18" s="16" t="inlineStr">
        <is>
          <t>Alerts tested end-to-end (fire, route, acknowledge)</t>
        </is>
      </c>
      <c r="D18" s="16" t="inlineStr">
        <is>
          <t>Azure Monitor, Log Analytics, Application Insights</t>
        </is>
      </c>
      <c r="E18" s="16" t="inlineStr">
        <is>
          <t>Azure Monitor, Log Analytics, Application Insights</t>
        </is>
      </c>
      <c r="F18" s="16" t="inlineStr"/>
      <c r="G18" s="16" t="inlineStr">
        <is>
          <t>High</t>
        </is>
      </c>
      <c r="H18" s="16" t="inlineStr">
        <is>
          <t>Not started</t>
        </is>
      </c>
      <c r="I18" s="16" t="inlineStr"/>
      <c r="J18" s="16" t="inlineStr"/>
      <c r="K18" s="16" t="inlineStr"/>
    </row>
    <row r="19">
      <c r="A19" s="16" t="inlineStr">
        <is>
          <t>POST-018</t>
        </is>
      </c>
      <c r="B19" s="16" t="inlineStr">
        <is>
          <t>Monitoring</t>
        </is>
      </c>
      <c r="C19" s="16" t="inlineStr">
        <is>
          <t>Dashboards published for the run team and owners</t>
        </is>
      </c>
      <c r="D19" s="16" t="inlineStr">
        <is>
          <t>Azure Monitor, Log Analytics, Application Insights</t>
        </is>
      </c>
      <c r="E19" s="16" t="inlineStr">
        <is>
          <t>Azure Monitor, Log Analytics, Application Insights</t>
        </is>
      </c>
      <c r="F19" s="16" t="inlineStr"/>
      <c r="G19" s="16" t="inlineStr">
        <is>
          <t>Medium</t>
        </is>
      </c>
      <c r="H19" s="16" t="inlineStr">
        <is>
          <t>Not started</t>
        </is>
      </c>
      <c r="I19" s="16" t="inlineStr"/>
      <c r="J19" s="16" t="inlineStr"/>
      <c r="K19" s="16" t="inlineStr"/>
    </row>
    <row r="20">
      <c r="A20" s="16" t="inlineStr">
        <is>
          <t>POST-019</t>
        </is>
      </c>
      <c r="B20" s="16" t="inlineStr">
        <is>
          <t>Backup &amp; DR</t>
        </is>
      </c>
      <c r="C20" s="16" t="inlineStr">
        <is>
          <t>First backups completed and a restore tested</t>
        </is>
      </c>
      <c r="D20" s="16" t="inlineStr">
        <is>
          <t>Azure Backup with immutable vaults and soft delete</t>
        </is>
      </c>
      <c r="E20" s="16" t="inlineStr">
        <is>
          <t>Azure Backup with immutable vaults and soft delete</t>
        </is>
      </c>
      <c r="F20" s="16" t="inlineStr"/>
      <c r="G20" s="16" t="inlineStr">
        <is>
          <t>Critical</t>
        </is>
      </c>
      <c r="H20" s="16" t="inlineStr">
        <is>
          <t>Not started</t>
        </is>
      </c>
      <c r="I20" s="16" t="inlineStr"/>
      <c r="J20" s="16" t="inlineStr"/>
      <c r="K20" s="16" t="inlineStr"/>
    </row>
    <row r="21">
      <c r="A21" s="16" t="inlineStr">
        <is>
          <t>POST-020</t>
        </is>
      </c>
      <c r="B21" s="16" t="inlineStr">
        <is>
          <t>Backup &amp; DR</t>
        </is>
      </c>
      <c r="C21" s="16" t="inlineStr">
        <is>
          <t>DR replication configured and failover test scheduled</t>
        </is>
      </c>
      <c r="D21" s="16" t="inlineStr">
        <is>
          <t>Azure Site Recovery / zone-redundant services</t>
        </is>
      </c>
      <c r="E21" s="16" t="inlineStr">
        <is>
          <t>Azure Site Recovery / zone-redundant services</t>
        </is>
      </c>
      <c r="F21" s="16" t="inlineStr"/>
      <c r="G21" s="16" t="inlineStr">
        <is>
          <t>High</t>
        </is>
      </c>
      <c r="H21" s="16" t="inlineStr">
        <is>
          <t>Not started</t>
        </is>
      </c>
      <c r="I21" s="16" t="inlineStr"/>
      <c r="J21" s="16" t="inlineStr"/>
      <c r="K21" s="16" t="inlineStr"/>
    </row>
    <row r="22">
      <c r="A22" s="16" t="inlineStr">
        <is>
          <t>POST-021</t>
        </is>
      </c>
      <c r="B22" s="16" t="inlineStr">
        <is>
          <t>Cost &amp; tagging</t>
        </is>
      </c>
      <c r="C22" s="16" t="inlineStr">
        <is>
          <t>All resources tagged per standard</t>
        </is>
      </c>
      <c r="D22" s="16" t="inlineStr">
        <is>
          <t>CostCentre, Environment, Owner, Application, DataClassification</t>
        </is>
      </c>
      <c r="E22" s="16" t="inlineStr">
        <is>
          <t>Azure Landing Zones (CAF) — management groups, Azure Policy</t>
        </is>
      </c>
      <c r="F22" s="16" t="inlineStr"/>
      <c r="G22" s="16" t="inlineStr">
        <is>
          <t>High</t>
        </is>
      </c>
      <c r="H22" s="16" t="inlineStr">
        <is>
          <t>Not started</t>
        </is>
      </c>
      <c r="I22" s="16" t="inlineStr"/>
      <c r="J22" s="16" t="inlineStr"/>
      <c r="K22" s="16" t="inlineStr"/>
    </row>
    <row r="23">
      <c r="A23" s="16" t="inlineStr">
        <is>
          <t>POST-022</t>
        </is>
      </c>
      <c r="B23" s="16" t="inlineStr">
        <is>
          <t>Cost &amp; tagging</t>
        </is>
      </c>
      <c r="C23" s="16" t="inlineStr">
        <is>
          <t>Cost allocated to the right cost centre in reports</t>
        </is>
      </c>
      <c r="D23" s="16" t="inlineStr">
        <is>
          <t>Microsoft Cost Management, budgets, Azure Advisor</t>
        </is>
      </c>
      <c r="E23" s="16" t="inlineStr">
        <is>
          <t>Microsoft Cost Management, budgets, Azure Advisor</t>
        </is>
      </c>
      <c r="F23" s="16" t="inlineStr"/>
      <c r="G23" s="16" t="inlineStr">
        <is>
          <t>Medium</t>
        </is>
      </c>
      <c r="H23" s="16" t="inlineStr">
        <is>
          <t>Not started</t>
        </is>
      </c>
      <c r="I23" s="16" t="inlineStr"/>
      <c r="J23" s="16" t="inlineStr"/>
      <c r="K23" s="16" t="inlineStr"/>
    </row>
    <row r="24">
      <c r="A24" s="16" t="inlineStr">
        <is>
          <t>POST-023</t>
        </is>
      </c>
      <c r="B24" s="16" t="inlineStr">
        <is>
          <t>Cost &amp; tagging</t>
        </is>
      </c>
      <c r="C24" s="16" t="inlineStr">
        <is>
          <t>Commitment / reservation candidates identified after 30 days</t>
        </is>
      </c>
      <c r="D24" s="16" t="inlineStr">
        <is>
          <t>Azure Reservations, Azure savings plan for compute, Azure Hybrid Benefit</t>
        </is>
      </c>
      <c r="E24" s="16" t="inlineStr">
        <is>
          <t>Microsoft Cost Management, budgets, Azure Advisor</t>
        </is>
      </c>
      <c r="F24" s="16" t="inlineStr"/>
      <c r="G24" s="16" t="inlineStr">
        <is>
          <t>Medium</t>
        </is>
      </c>
      <c r="H24" s="16" t="inlineStr">
        <is>
          <t>Not started</t>
        </is>
      </c>
      <c r="I24" s="16" t="inlineStr"/>
      <c r="J24" s="16" t="inlineStr"/>
      <c r="K24" s="16" t="inlineStr"/>
    </row>
    <row r="25">
      <c r="A25" s="16" t="inlineStr">
        <is>
          <t>POST-024</t>
        </is>
      </c>
      <c r="B25" s="16" t="inlineStr">
        <is>
          <t>Cost &amp; tagging</t>
        </is>
      </c>
      <c r="C25" s="16" t="inlineStr">
        <is>
          <t>Vendor funding evidence captured (tags, IDs, reports)</t>
        </is>
      </c>
      <c r="D25" s="16" t="inlineStr">
        <is>
          <t>Subscription / account IDs, migration reports, customer attestation.</t>
        </is>
      </c>
      <c r="E25" s="16" t="inlineStr">
        <is>
          <t>Funding tracker</t>
        </is>
      </c>
      <c r="F25" s="16" t="inlineStr"/>
      <c r="G25" s="16" t="inlineStr">
        <is>
          <t>High</t>
        </is>
      </c>
      <c r="H25" s="16" t="inlineStr">
        <is>
          <t>Not started</t>
        </is>
      </c>
      <c r="I25" s="16" t="inlineStr"/>
      <c r="J25" s="16" t="inlineStr"/>
      <c r="K25" s="16" t="inlineStr"/>
    </row>
    <row r="26">
      <c r="A26" s="16" t="inlineStr">
        <is>
          <t>POST-025</t>
        </is>
      </c>
      <c r="B26" s="16" t="inlineStr">
        <is>
          <t>Operations handover</t>
        </is>
      </c>
      <c r="C26" s="16" t="inlineStr">
        <is>
          <t>Runbooks, RACI and SLAs accepted by the run team</t>
        </is>
      </c>
      <c r="D26" s="16" t="inlineStr">
        <is>
          <t>Signed handover form.</t>
        </is>
      </c>
      <c r="E26" s="16" t="inlineStr">
        <is>
          <t>Runbook &amp; RACI</t>
        </is>
      </c>
      <c r="F26" s="16" t="inlineStr"/>
      <c r="G26" s="16" t="inlineStr">
        <is>
          <t>Critical</t>
        </is>
      </c>
      <c r="H26" s="16" t="inlineStr">
        <is>
          <t>Not started</t>
        </is>
      </c>
      <c r="I26" s="16" t="inlineStr"/>
      <c r="J26" s="16" t="inlineStr"/>
      <c r="K26" s="16" t="inlineStr"/>
    </row>
    <row r="27">
      <c r="A27" s="16" t="inlineStr">
        <is>
          <t>POST-026</t>
        </is>
      </c>
      <c r="B27" s="16" t="inlineStr">
        <is>
          <t>Operations handover</t>
        </is>
      </c>
      <c r="C27" s="16" t="inlineStr">
        <is>
          <t>Patching and maintenance windows active</t>
        </is>
      </c>
      <c r="D27" s="16" t="inlineStr">
        <is>
          <t>Azure Update Manager (Azure + Arc-enabled servers)</t>
        </is>
      </c>
      <c r="E27" s="16" t="inlineStr">
        <is>
          <t>Azure Update Manager (Azure + Arc-enabled servers)</t>
        </is>
      </c>
      <c r="F27" s="16" t="inlineStr"/>
      <c r="G27" s="16" t="inlineStr">
        <is>
          <t>High</t>
        </is>
      </c>
      <c r="H27" s="16" t="inlineStr">
        <is>
          <t>Not started</t>
        </is>
      </c>
      <c r="I27" s="16" t="inlineStr"/>
      <c r="J27" s="16" t="inlineStr"/>
      <c r="K27" s="16" t="inlineStr"/>
    </row>
    <row r="28">
      <c r="A28" s="16" t="inlineStr">
        <is>
          <t>POST-027</t>
        </is>
      </c>
      <c r="B28" s="16" t="inlineStr">
        <is>
          <t>Operations handover</t>
        </is>
      </c>
      <c r="C28" s="16" t="inlineStr">
        <is>
          <t>CMDB / asset register updated</t>
        </is>
      </c>
      <c r="D28" s="16" t="inlineStr">
        <is>
          <t>Retire source CIs, add target CIs.</t>
        </is>
      </c>
      <c r="E28" s="16" t="inlineStr">
        <is>
          <t>CMDB</t>
        </is>
      </c>
      <c r="F28" s="16" t="inlineStr"/>
      <c r="G28" s="16" t="inlineStr">
        <is>
          <t>Medium</t>
        </is>
      </c>
      <c r="H28" s="16" t="inlineStr">
        <is>
          <t>Not started</t>
        </is>
      </c>
      <c r="I28" s="16" t="inlineStr"/>
      <c r="J28" s="16" t="inlineStr"/>
      <c r="K28" s="16" t="inlineStr"/>
    </row>
    <row r="29">
      <c r="A29" s="16" t="inlineStr">
        <is>
          <t>POST-028</t>
        </is>
      </c>
      <c r="B29" s="16" t="inlineStr">
        <is>
          <t>Operations handover</t>
        </is>
      </c>
      <c r="C29" s="16" t="inlineStr">
        <is>
          <t>Hypercare exit criteria met</t>
        </is>
      </c>
      <c r="D29" s="16" t="inlineStr">
        <is>
          <t>No open P1 / P2, stable for 10 business days.</t>
        </is>
      </c>
      <c r="E29" s="16" t="inlineStr">
        <is>
          <t>Hypercare log</t>
        </is>
      </c>
      <c r="F29" s="16" t="inlineStr"/>
      <c r="G29" s="16" t="inlineStr">
        <is>
          <t>High</t>
        </is>
      </c>
      <c r="H29" s="16" t="inlineStr">
        <is>
          <t>Not started</t>
        </is>
      </c>
      <c r="I29" s="16" t="inlineStr"/>
      <c r="J29" s="16" t="inlineStr"/>
      <c r="K29" s="16" t="inlineStr"/>
    </row>
    <row r="30">
      <c r="A30" s="16" t="inlineStr">
        <is>
          <t>POST-029</t>
        </is>
      </c>
      <c r="B30" s="16" t="inlineStr">
        <is>
          <t>Decommission</t>
        </is>
      </c>
      <c r="C30" s="16" t="inlineStr">
        <is>
          <t>Source systems powered off after agreed retention period</t>
        </is>
      </c>
      <c r="D30" s="16" t="inlineStr">
        <is>
          <t>Typically 2–4 weeks after successful cutover.</t>
        </is>
      </c>
      <c r="E30" s="16" t="inlineStr">
        <is>
          <t>Decommission plan</t>
        </is>
      </c>
      <c r="F30" s="16" t="inlineStr"/>
      <c r="G30" s="16" t="inlineStr">
        <is>
          <t>High</t>
        </is>
      </c>
      <c r="H30" s="16" t="inlineStr">
        <is>
          <t>Not started</t>
        </is>
      </c>
      <c r="I30" s="16" t="inlineStr"/>
      <c r="J30" s="16" t="inlineStr"/>
      <c r="K30" s="16" t="inlineStr"/>
    </row>
    <row r="31">
      <c r="A31" s="16" t="inlineStr">
        <is>
          <t>POST-030</t>
        </is>
      </c>
      <c r="B31" s="16" t="inlineStr">
        <is>
          <t>Decommission</t>
        </is>
      </c>
      <c r="C31" s="16" t="inlineStr">
        <is>
          <t>Source data securely wiped / media destroyed with certificate</t>
        </is>
      </c>
      <c r="D31" s="16" t="inlineStr">
        <is>
          <t>Required for regulated data.</t>
        </is>
      </c>
      <c r="E31" s="16" t="inlineStr">
        <is>
          <t>Destruction certificate</t>
        </is>
      </c>
      <c r="F31" s="16" t="inlineStr"/>
      <c r="G31" s="16" t="inlineStr">
        <is>
          <t>High</t>
        </is>
      </c>
      <c r="H31" s="16" t="inlineStr">
        <is>
          <t>Not started</t>
        </is>
      </c>
      <c r="I31" s="16" t="inlineStr"/>
      <c r="J31" s="16" t="inlineStr"/>
      <c r="K31" s="16" t="inlineStr"/>
    </row>
    <row r="32">
      <c r="A32" s="16" t="inlineStr">
        <is>
          <t>POST-031</t>
        </is>
      </c>
      <c r="B32" s="16" t="inlineStr">
        <is>
          <t>Decommission</t>
        </is>
      </c>
      <c r="C32" s="16" t="inlineStr">
        <is>
          <t>Licences, support contracts and hosting released</t>
        </is>
      </c>
      <c r="D32" s="16" t="inlineStr">
        <is>
          <t>Capture savings in the benefits tracker.</t>
        </is>
      </c>
      <c r="E32" s="16" t="inlineStr">
        <is>
          <t>Contract register</t>
        </is>
      </c>
      <c r="F32" s="16" t="inlineStr"/>
      <c r="G32" s="16" t="inlineStr">
        <is>
          <t>Medium</t>
        </is>
      </c>
      <c r="H32" s="16" t="inlineStr">
        <is>
          <t>Not started</t>
        </is>
      </c>
      <c r="I32" s="16" t="inlineStr"/>
      <c r="J32" s="16" t="inlineStr"/>
      <c r="K32" s="16" t="inlineStr"/>
    </row>
    <row r="33">
      <c r="A33" s="16" t="inlineStr">
        <is>
          <t>POST-032</t>
        </is>
      </c>
      <c r="B33" s="16" t="inlineStr">
        <is>
          <t>Documentation</t>
        </is>
      </c>
      <c r="C33" s="16" t="inlineStr">
        <is>
          <t>As-built architecture and network diagrams updated</t>
        </is>
      </c>
      <c r="D33" s="16" t="inlineStr">
        <is>
          <t>Stored in the design repository.</t>
        </is>
      </c>
      <c r="E33" s="16" t="inlineStr">
        <is>
          <t>Architecture repo</t>
        </is>
      </c>
      <c r="F33" s="16" t="inlineStr"/>
      <c r="G33" s="16" t="inlineStr">
        <is>
          <t>Medium</t>
        </is>
      </c>
      <c r="H33" s="16" t="inlineStr">
        <is>
          <t>Not started</t>
        </is>
      </c>
      <c r="I33" s="16" t="inlineStr"/>
      <c r="J33" s="16" t="inlineStr"/>
      <c r="K33" s="16" t="inlineStr"/>
    </row>
    <row r="34">
      <c r="A34" s="16" t="inlineStr">
        <is>
          <t>POST-033</t>
        </is>
      </c>
      <c r="B34" s="16" t="inlineStr">
        <is>
          <t>Documentation</t>
        </is>
      </c>
      <c r="C34" s="16" t="inlineStr">
        <is>
          <t>Lessons learned captured for the next wave</t>
        </is>
      </c>
      <c r="D34" s="16" t="inlineStr">
        <is>
          <t>Update runbook durations and risks.</t>
        </is>
      </c>
      <c r="E34" s="16" t="inlineStr">
        <is>
          <t>Retrospective</t>
        </is>
      </c>
      <c r="F34" s="16" t="inlineStr"/>
      <c r="G34" s="16" t="inlineStr">
        <is>
          <t>Medium</t>
        </is>
      </c>
      <c r="H34" s="16" t="inlineStr">
        <is>
          <t>Not started</t>
        </is>
      </c>
      <c r="I34" s="16" t="inlineStr"/>
      <c r="J34" s="16" t="inlineStr"/>
      <c r="K34" s="16" t="inlineStr"/>
    </row>
    <row r="35">
      <c r="A35" s="16" t="inlineStr">
        <is>
          <t>POST-034</t>
        </is>
      </c>
      <c r="B35" s="16" t="inlineStr">
        <is>
          <t>Business sign-off</t>
        </is>
      </c>
      <c r="C35" s="16" t="inlineStr">
        <is>
          <t>Application owner acceptance signed</t>
        </is>
      </c>
      <c r="D35" s="16" t="inlineStr">
        <is>
          <t>Formal closure for the wave.</t>
        </is>
      </c>
      <c r="E35" s="16" t="inlineStr">
        <is>
          <t>Sign-off form</t>
        </is>
      </c>
      <c r="F35" s="16" t="inlineStr"/>
      <c r="G35" s="16" t="inlineStr">
        <is>
          <t>Critical</t>
        </is>
      </c>
      <c r="H35" s="16" t="inlineStr">
        <is>
          <t>Not started</t>
        </is>
      </c>
      <c r="I35" s="16" t="inlineStr"/>
      <c r="J35" s="16" t="inlineStr"/>
      <c r="K35" s="16" t="inlineStr"/>
    </row>
    <row r="36">
      <c r="A36" s="16" t="inlineStr">
        <is>
          <t>POST-035</t>
        </is>
      </c>
      <c r="B36" s="16" t="inlineStr">
        <is>
          <t>Business sign-off</t>
        </is>
      </c>
      <c r="C36" s="16" t="inlineStr">
        <is>
          <t>Benefits tracker updated (cost, performance, risk)</t>
        </is>
      </c>
      <c r="D36" s="16" t="inlineStr">
        <is>
          <t>Feeds the business case review.</t>
        </is>
      </c>
      <c r="E36" s="16" t="inlineStr">
        <is>
          <t>Benefits tracker</t>
        </is>
      </c>
      <c r="F36" s="16" t="inlineStr"/>
      <c r="G36" s="16" t="inlineStr">
        <is>
          <t>Medium</t>
        </is>
      </c>
      <c r="H36" s="16" t="inlineStr">
        <is>
          <t>Not started</t>
        </is>
      </c>
      <c r="I36" s="16" t="inlineStr"/>
      <c r="J36" s="16" t="inlineStr"/>
      <c r="K36" s="16" t="inlineStr"/>
    </row>
  </sheetData>
  <autoFilter ref="A1:K36"/>
  <conditionalFormatting sqref="H2:H236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conditionalFormatting sqref="G2:G236">
    <cfRule type="cellIs" priority="4" operator="equal" dxfId="3">
      <formula>"Critical"</formula>
    </cfRule>
  </conditionalFormatting>
  <dataValidations count="2">
    <dataValidation sqref="H2:H236" showDropDown="0" showInputMessage="0" showErrorMessage="0" allowBlank="1" type="list">
      <formula1>"Not started,In progress,Done,Blocked,N/A"</formula1>
    </dataValidation>
    <dataValidation sqref="G2:G236" showDropDown="0" showInputMessage="0" showErrorMessage="0" allowBlank="1" type="list">
      <formula1>"Critical,High,Medium,Low"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azure-post-migration-checklist.xlsx</dc:title>
  <dcterms:created xmlns:dcterms="http://purl.org/dc/terms/" xmlns:xsi="http://www.w3.org/2001/XMLSchema-instance" xsi:type="dcterms:W3CDTF">2026-10-21T09:23:49Z</dcterms:created>
  <dcterms:modified xmlns:dcterms="http://purl.org/dc/terms/" xmlns:xsi="http://www.w3.org/2001/XMLSchema-instance" xsi:type="dcterms:W3CDTF">2026-10-21T09:23:49Z</dcterms:modified>
</cp:coreProperties>
</file>