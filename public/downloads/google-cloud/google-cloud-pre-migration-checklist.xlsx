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Pre-Migration Checklist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Readiness gate before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Governance &amp; commercials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Discovery &amp; assessment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Landing zone &amp; identity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Network &amp; connectivity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Security &amp; compliance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Data &amp; databases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Application readiness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Backup &amp; DR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Testing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Cutover readiness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Communications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0" t="inlineStr">
        <is>
          <t>Operations readiness</t>
        </is>
      </c>
      <c r="B13" s="10">
        <f>COUNTIF('Checklist'!$B:$B,A13)</f>
        <v/>
      </c>
      <c r="C13" s="10">
        <f>COUNTIFS('Checklist'!$B:$B,$A13,'Checklist'!$H:$H,"Done")</f>
        <v/>
      </c>
      <c r="D13" s="10">
        <f>COUNTIFS('Checklist'!$B:$B,$A13,'Checklist'!$H:$H,"In progress")</f>
        <v/>
      </c>
      <c r="E13" s="10">
        <f>COUNTIFS('Checklist'!$B:$B,$A13,'Checklist'!$H:$H,"Blocked")</f>
        <v/>
      </c>
      <c r="F13" s="10">
        <f>COUNTIFS('Checklist'!$B:$B,$A13,'Checklist'!$H:$H,"Not started")</f>
        <v/>
      </c>
      <c r="G13" s="10">
        <f>COUNTIFS('Checklist'!$B:$B,$A13,'Checklist'!$H:$H,"N/A")</f>
        <v/>
      </c>
      <c r="H13" s="11">
        <f>IFERROR(C13/(B13-G13),0)</f>
        <v/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2">
        <f>SUM(G2:G13)</f>
        <v/>
      </c>
      <c r="H14" s="13">
        <f>IFERROR(C14/(B14-G14),0)</f>
        <v/>
      </c>
    </row>
    <row r="16">
      <c r="A16" s="14" t="inlineStr">
        <is>
          <t>Go-live readiness rule: all Critical items Done or N/A, no Blocked items, ≥ 90% overall.</t>
        </is>
      </c>
    </row>
    <row r="17">
      <c r="A17" t="inlineStr">
        <is>
          <t>Critical items not yet Done</t>
        </is>
      </c>
      <c r="B17">
        <f>COUNTIFS('Checklist'!$G:$G,"Critical",'Checklist'!$H:$H,"&lt;&gt;Done",'Checklist'!$H:$H,"&lt;&gt;N/A",'Checklist'!$A:$A,"&lt;&gt;ID")</f>
        <v/>
      </c>
    </row>
  </sheetData>
  <conditionalFormatting sqref="H2:H14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Google Cloud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PRE-001</t>
        </is>
      </c>
      <c r="B2" s="16" t="inlineStr">
        <is>
          <t>Governance &amp; commercials</t>
        </is>
      </c>
      <c r="C2" s="16" t="inlineStr">
        <is>
          <t>Executive sponsor and steering committee named</t>
        </is>
      </c>
      <c r="D2" s="16" t="inlineStr">
        <is>
          <t>Sponsor owns the business case; steering meets fortnightly through migration.</t>
        </is>
      </c>
      <c r="E2" s="16" t="inlineStr">
        <is>
          <t>Programme charter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PRE-002</t>
        </is>
      </c>
      <c r="B3" s="16" t="inlineStr">
        <is>
          <t>Governance &amp; commercials</t>
        </is>
      </c>
      <c r="C3" s="16" t="inlineStr">
        <is>
          <t>Business case approved with run-rate, migration cost and funding shown separately</t>
        </is>
      </c>
      <c r="D3" s="16" t="inlineStr">
        <is>
          <t>Avoid double counting vendor credits against run-rate savings.</t>
        </is>
      </c>
      <c r="E3" s="16" t="inlineStr">
        <is>
          <t>Cloud Billing reports, billing export to BigQuery, FinOps hub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PRE-003</t>
        </is>
      </c>
      <c r="B4" s="16" t="inlineStr">
        <is>
          <t>Governance &amp; commercials</t>
        </is>
      </c>
      <c r="C4" s="16" t="inlineStr">
        <is>
          <t>Vendor funding / programme approvals in place</t>
        </is>
      </c>
      <c r="D4" s="16" t="inlineStr">
        <is>
          <t>Confirm eligibility, customer consent and evidence requirements before work starts.</t>
        </is>
      </c>
      <c r="E4" s="16" t="inlineStr">
        <is>
          <t>Funding plan</t>
        </is>
      </c>
      <c r="F4" s="16" t="inlineStr"/>
      <c r="G4" s="16" t="inlineStr">
        <is>
          <t>High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PRE-004</t>
        </is>
      </c>
      <c r="B5" s="16" t="inlineStr">
        <is>
          <t>Governance &amp; commercials</t>
        </is>
      </c>
      <c r="C5" s="16" t="inlineStr">
        <is>
          <t>Billing account / subscription ownership agreed</t>
        </is>
      </c>
      <c r="D5" s="16" t="inlineStr">
        <is>
          <t>Who holds the payer / billing root, who pays, and how chargeback works.</t>
        </is>
      </c>
      <c r="E5" s="16" t="inlineStr">
        <is>
          <t>Cloud Billing reports, billing export to BigQuery, FinOps hub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PRE-005</t>
        </is>
      </c>
      <c r="B6" s="16" t="inlineStr">
        <is>
          <t>Governance &amp; commercials</t>
        </is>
      </c>
      <c r="C6" s="16" t="inlineStr">
        <is>
          <t>Commitment strategy agreed (post right-sizing)</t>
        </is>
      </c>
      <c r="D6" s="16" t="inlineStr">
        <is>
          <t>Stage commitments after 30–60 days of post-migration telemetry.</t>
        </is>
      </c>
      <c r="E6" s="16" t="inlineStr">
        <is>
          <t>Resource-based and spend-based committed use discounts, BigQuery editions commitments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PRE-006</t>
        </is>
      </c>
      <c r="B7" s="16" t="inlineStr">
        <is>
          <t>Governance &amp; commercials</t>
        </is>
      </c>
      <c r="C7" s="16" t="inlineStr">
        <is>
          <t>Change freeze and blackout calendar captured</t>
        </is>
      </c>
      <c r="D7" s="16" t="inlineStr">
        <is>
          <t>Month-end, quarter-end, festive peaks, audits.</t>
        </is>
      </c>
      <c r="E7" s="16" t="inlineStr">
        <is>
          <t>Wave plan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PRE-007</t>
        </is>
      </c>
      <c r="B8" s="16" t="inlineStr">
        <is>
          <t>Discovery &amp; assessment</t>
        </is>
      </c>
      <c r="C8" s="16" t="inlineStr">
        <is>
          <t>All in-scope servers discovered with ≥ 14 days of performance data</t>
        </is>
      </c>
      <c r="D8" s="16" t="inlineStr">
        <is>
          <t>Size to p95, not allocation.</t>
        </is>
      </c>
      <c r="E8" s="16" t="inlineStr">
        <is>
          <t>Migration Center discovery client</t>
        </is>
      </c>
      <c r="F8" s="16" t="inlineStr"/>
      <c r="G8" s="16" t="inlineStr">
        <is>
          <t>Critical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PRE-008</t>
        </is>
      </c>
      <c r="B9" s="16" t="inlineStr">
        <is>
          <t>Discovery &amp; assessment</t>
        </is>
      </c>
      <c r="C9" s="16" t="inlineStr">
        <is>
          <t>Application owners identified and interviewed</t>
        </is>
      </c>
      <c r="D9" s="16" t="inlineStr">
        <is>
          <t>Every application needs a named owner who signs the disposition.</t>
        </is>
      </c>
      <c r="E9" s="16" t="inlineStr">
        <is>
          <t>Application portfolio</t>
        </is>
      </c>
      <c r="F9" s="16" t="inlineStr"/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PRE-009</t>
        </is>
      </c>
      <c r="B10" s="16" t="inlineStr">
        <is>
          <t>Discovery &amp; assessment</t>
        </is>
      </c>
      <c r="C10" s="16" t="inlineStr">
        <is>
          <t>Dependencies mapped and validated with owners</t>
        </is>
      </c>
      <c r="D10" s="16" t="inlineStr">
        <is>
          <t>Include AD, DNS, NTP, SMTP, file shares, licensing servers, batch schedulers.</t>
        </is>
      </c>
      <c r="E10" s="16" t="inlineStr">
        <is>
          <t>Migration Center discovery client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PRE-010</t>
        </is>
      </c>
      <c r="B11" s="16" t="inlineStr">
        <is>
          <t>Discovery &amp; assessment</t>
        </is>
      </c>
      <c r="C11" s="16" t="inlineStr">
        <is>
          <t>7R disposition signed off per application</t>
        </is>
      </c>
      <c r="D11" s="16" t="inlineStr">
        <is>
          <t>Retire, retain, rehost, relocate, replatform, repurchase, refactor.</t>
        </is>
      </c>
      <c r="E11" s="16" t="inlineStr">
        <is>
          <t>Assessment workbook</t>
        </is>
      </c>
      <c r="F11" s="16" t="inlineStr"/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PRE-011</t>
        </is>
      </c>
      <c r="B12" s="16" t="inlineStr">
        <is>
          <t>Discovery &amp; assessment</t>
        </is>
      </c>
      <c r="C12" s="16" t="inlineStr">
        <is>
          <t>Database inventory with versions, size, features and growth</t>
        </is>
      </c>
      <c r="D12" s="16" t="inlineStr">
        <is>
          <t>Drives migration method and downtime estimate.</t>
        </is>
      </c>
      <c r="E12" s="16" t="inlineStr">
        <is>
          <t>Database Migration Service (homogeneous + Oracle → PostgreSQL / AlloyDB)</t>
        </is>
      </c>
      <c r="F12" s="16" t="inlineStr"/>
      <c r="G12" s="16" t="inlineStr">
        <is>
          <t>High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PRE-012</t>
        </is>
      </c>
      <c r="B13" s="16" t="inlineStr">
        <is>
          <t>Discovery &amp; assessment</t>
        </is>
      </c>
      <c r="C13" s="16" t="inlineStr">
        <is>
          <t>Licensing position confirmed (BYOL / licence-included)</t>
        </is>
      </c>
      <c r="D13" s="16" t="inlineStr">
        <is>
          <t>OS, database, middleware and ISV licences — including mobility rights.</t>
        </is>
      </c>
      <c r="E13" s="16" t="inlineStr">
        <is>
          <t>Licence register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PRE-013</t>
        </is>
      </c>
      <c r="B14" s="16" t="inlineStr">
        <is>
          <t>Discovery &amp; assessment</t>
        </is>
      </c>
      <c r="C14" s="16" t="inlineStr">
        <is>
          <t>Data classification completed for in-scope data</t>
        </is>
      </c>
      <c r="D14" s="16" t="inlineStr">
        <is>
          <t>Personal data under DPDP, regulated data (RBI / SEBI / IRDAI), confidential IP.</t>
        </is>
      </c>
      <c r="E14" s="16" t="inlineStr">
        <is>
          <t>Data classification register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PRE-014</t>
        </is>
      </c>
      <c r="B15" s="16" t="inlineStr">
        <is>
          <t>Landing zone &amp; identity</t>
        </is>
      </c>
      <c r="C15" s="16" t="inlineStr">
        <is>
          <t>Landing zone deployed as code and peer reviewed</t>
        </is>
      </c>
      <c r="D15" s="16" t="inlineStr">
        <is>
          <t>Cloud Foundation Fabric — resource hierarchy, organisation policies</t>
        </is>
      </c>
      <c r="E15" s="16" t="inlineStr">
        <is>
          <t>Terraform (Cloud Foundation Fabric modules)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PRE-015</t>
        </is>
      </c>
      <c r="B16" s="16" t="inlineStr">
        <is>
          <t>Landing zone &amp; identity</t>
        </is>
      </c>
      <c r="C16" s="16" t="inlineStr">
        <is>
          <t>Guardrails enforced (allowed regions, encryption, tagging, public access)</t>
        </is>
      </c>
      <c r="D16" s="16" t="inlineStr">
        <is>
          <t>Regions: asia-south1 (Mumbai), asia-south2 (Delhi).</t>
        </is>
      </c>
      <c r="E16" s="16" t="inlineStr">
        <is>
          <t>Cloud Foundation Fabric — resource hierarchy, organisation policies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PRE-016</t>
        </is>
      </c>
      <c r="B17" s="16" t="inlineStr">
        <is>
          <t>Landing zone &amp; identity</t>
        </is>
      </c>
      <c r="C17" s="16" t="inlineStr">
        <is>
          <t>Identity federation and MFA for all administrators</t>
        </is>
      </c>
      <c r="D17" s="16" t="inlineStr">
        <is>
          <t>Cloud Identity / Workforce Identity Federation with the corporate IdP</t>
        </is>
      </c>
      <c r="E17" s="16" t="inlineStr">
        <is>
          <t>Cloud Identity / Workforce Identity Federation with the corporate IdP</t>
        </is>
      </c>
      <c r="F17" s="16" t="inlineStr"/>
      <c r="G17" s="16" t="inlineStr">
        <is>
          <t>Critical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PRE-017</t>
        </is>
      </c>
      <c r="B18" s="16" t="inlineStr">
        <is>
          <t>Landing zone &amp; identity</t>
        </is>
      </c>
      <c r="C18" s="16" t="inlineStr">
        <is>
          <t>Privileged access just-in-time and break-glass accounts tested</t>
        </is>
      </c>
      <c r="D18" s="16" t="inlineStr">
        <is>
          <t>Two break-glass accounts, stored offline, alerting on use.</t>
        </is>
      </c>
      <c r="E18" s="16" t="inlineStr">
        <is>
          <t>IAM groups with just-in-time access; IAP for SSH / RDP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PRE-018</t>
        </is>
      </c>
      <c r="B19" s="16" t="inlineStr">
        <is>
          <t>Landing zone &amp; identity</t>
        </is>
      </c>
      <c r="C19" s="16" t="inlineStr">
        <is>
          <t>Tagging / labelling standard published and enforced</t>
        </is>
      </c>
      <c r="D19" s="16" t="inlineStr">
        <is>
          <t>Labels: cost-centre, env, owner, app, data-class</t>
        </is>
      </c>
      <c r="E19" s="16" t="inlineStr">
        <is>
          <t>Cloud Foundation Fabric — resource hierarchy, organisation policies</t>
        </is>
      </c>
      <c r="F19" s="16" t="inlineStr"/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PRE-019</t>
        </is>
      </c>
      <c r="B20" s="16" t="inlineStr">
        <is>
          <t>Network &amp; connectivity</t>
        </is>
      </c>
      <c r="C20" s="16" t="inlineStr">
        <is>
          <t>Private connectivity provisioned and tested for throughput</t>
        </is>
      </c>
      <c r="D20" s="16" t="inlineStr">
        <is>
          <t>Size for replication peaks plus production traffic.</t>
        </is>
      </c>
      <c r="E20" s="16" t="inlineStr">
        <is>
          <t>Cloud Interconnect (Dedicated / Partner) + HA VPN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PRE-020</t>
        </is>
      </c>
      <c r="B21" s="16" t="inlineStr">
        <is>
          <t>Network &amp; connectivity</t>
        </is>
      </c>
      <c r="C21" s="16" t="inlineStr">
        <is>
          <t>IP address plan with no overlap against on-premises</t>
        </is>
      </c>
      <c r="D21" s="16" t="inlineStr">
        <is>
          <t>Reserve ranges for growth (containers, PaaS private endpoints).</t>
        </is>
      </c>
      <c r="E21" s="16" t="inlineStr">
        <is>
          <t>IPAM</t>
        </is>
      </c>
      <c r="F21" s="16" t="inlineStr"/>
      <c r="G21" s="16" t="inlineStr">
        <is>
          <t>Critical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PRE-021</t>
        </is>
      </c>
      <c r="B22" s="16" t="inlineStr">
        <is>
          <t>Network &amp; connectivity</t>
        </is>
      </c>
      <c r="C22" s="16" t="inlineStr">
        <is>
          <t>Hybrid DNS resolution validated both directions</t>
        </is>
      </c>
      <c r="D22" s="16" t="inlineStr">
        <is>
          <t>Cloud DNS with forwarding and peering zones</t>
        </is>
      </c>
      <c r="E22" s="16" t="inlineStr">
        <is>
          <t>Cloud DNS with forwarding and peering zones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PRE-022</t>
        </is>
      </c>
      <c r="B23" s="16" t="inlineStr">
        <is>
          <t>Network &amp; connectivity</t>
        </is>
      </c>
      <c r="C23" s="16" t="inlineStr">
        <is>
          <t>Firewall rules for migrated apps prepared and reviewed</t>
        </is>
      </c>
      <c r="D23" s="16" t="inlineStr">
        <is>
          <t>Least privilege; document every rule with an owner.</t>
        </is>
      </c>
      <c r="E23" s="16" t="inlineStr">
        <is>
          <t>Shared VPC hub with Cloud NGFW / firewall policies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PRE-023</t>
        </is>
      </c>
      <c r="B24" s="16" t="inlineStr">
        <is>
          <t>Network &amp; connectivity</t>
        </is>
      </c>
      <c r="C24" s="16" t="inlineStr">
        <is>
          <t>Internet egress and inspection path designed</t>
        </is>
      </c>
      <c r="D24" s="16" t="inlineStr">
        <is>
          <t>Centralised egress through the hub firewall.</t>
        </is>
      </c>
      <c r="E24" s="16" t="inlineStr">
        <is>
          <t>Shared VPC hub with Cloud NGFW / firewall policies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PRE-024</t>
        </is>
      </c>
      <c r="B25" s="16" t="inlineStr">
        <is>
          <t>Network &amp; connectivity</t>
        </is>
      </c>
      <c r="C25" s="16" t="inlineStr">
        <is>
          <t>Load balancer / DNS TTLs lowered ahead of cutover</t>
        </is>
      </c>
      <c r="D25" s="16" t="inlineStr">
        <is>
          <t>Lower TTLs to ≤ 300 s at least 48 h before cutover.</t>
        </is>
      </c>
      <c r="E25" s="16" t="inlineStr">
        <is>
          <t>Cloud DNS with forwarding and peering zones</t>
        </is>
      </c>
      <c r="F25" s="16" t="inlineStr"/>
      <c r="G25" s="16" t="inlineStr">
        <is>
          <t>Medium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PRE-025</t>
        </is>
      </c>
      <c r="B26" s="16" t="inlineStr">
        <is>
          <t>Security &amp; compliance</t>
        </is>
      </c>
      <c r="C26" s="16" t="inlineStr">
        <is>
          <t>Security baseline enabled in every account / subscription / project</t>
        </is>
      </c>
      <c r="D26" s="16" t="inlineStr">
        <is>
          <t>Security Command Center</t>
        </is>
      </c>
      <c r="E26" s="16" t="inlineStr">
        <is>
          <t>CIS Google Cloud Platform Foundation Benchmark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PRE-026</t>
        </is>
      </c>
      <c r="B27" s="16" t="inlineStr">
        <is>
          <t>Security &amp; compliance</t>
        </is>
      </c>
      <c r="C27" s="16" t="inlineStr">
        <is>
          <t>Central logging with ≥ 180-day retention in India</t>
        </is>
      </c>
      <c r="D27" s="16" t="inlineStr">
        <is>
          <t>CERT-In directions (April 2022).</t>
        </is>
      </c>
      <c r="E27" s="16" t="inlineStr">
        <is>
          <t>Aggregated log sinks to a central logging project</t>
        </is>
      </c>
      <c r="F27" s="16" t="inlineStr"/>
      <c r="G27" s="16" t="inlineStr">
        <is>
          <t>Critical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PRE-027</t>
        </is>
      </c>
      <c r="B28" s="16" t="inlineStr">
        <is>
          <t>Security &amp; compliance</t>
        </is>
      </c>
      <c r="C28" s="16" t="inlineStr">
        <is>
          <t>Encryption at rest with customer-managed keys where required</t>
        </is>
      </c>
      <c r="D28" s="16" t="inlineStr">
        <is>
          <t>Cloud KMS customer-managed encryption keys</t>
        </is>
      </c>
      <c r="E28" s="16" t="inlineStr">
        <is>
          <t>Cloud KMS customer-managed encryption keys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PRE-028</t>
        </is>
      </c>
      <c r="B29" s="16" t="inlineStr">
        <is>
          <t>Security &amp; compliance</t>
        </is>
      </c>
      <c r="C29" s="16" t="inlineStr">
        <is>
          <t>Vulnerability scanning on target images and hosts</t>
        </is>
      </c>
      <c r="D29" s="16" t="inlineStr">
        <is>
          <t>Security Command Center threat detection, Cloud IDS</t>
        </is>
      </c>
      <c r="E29" s="16" t="inlineStr">
        <is>
          <t>Security Command Center threat detection, Cloud IDS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PRE-029</t>
        </is>
      </c>
      <c r="B30" s="16" t="inlineStr">
        <is>
          <t>Security &amp; compliance</t>
        </is>
      </c>
      <c r="C30" s="16" t="inlineStr">
        <is>
          <t>Incident-response runbook updated for cloud (6-hour CERT-In reporting)</t>
        </is>
      </c>
      <c r="D30" s="16" t="inlineStr">
        <is>
          <t>Include contacts, evidence capture and regulator notifications.</t>
        </is>
      </c>
      <c r="E30" s="16" t="inlineStr">
        <is>
          <t>IR runbook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PRE-030</t>
        </is>
      </c>
      <c r="B31" s="16" t="inlineStr">
        <is>
          <t>Security &amp; compliance</t>
        </is>
      </c>
      <c r="C31" s="16" t="inlineStr">
        <is>
          <t>DPDP obligations reviewed for in-scope personal data</t>
        </is>
      </c>
      <c r="D31" s="16" t="inlineStr">
        <is>
          <t>Notice, consent, purpose limitation, safeguards, breach notification.</t>
        </is>
      </c>
      <c r="E31" s="16" t="inlineStr">
        <is>
          <t>DPDP checklist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PRE-031</t>
        </is>
      </c>
      <c r="B32" s="16" t="inlineStr">
        <is>
          <t>Data &amp; databases</t>
        </is>
      </c>
      <c r="C32" s="16" t="inlineStr">
        <is>
          <t>Migration method chosen per database with downtime budget</t>
        </is>
      </c>
      <c r="D32" s="16" t="inlineStr">
        <is>
          <t>Database Migration Service (homogeneous + Oracle → PostgreSQL / AlloyDB)</t>
        </is>
      </c>
      <c r="E32" s="16" t="inlineStr">
        <is>
          <t>Database Migration Service (homogeneous + Oracle → PostgreSQL / AlloyDB)</t>
        </is>
      </c>
      <c r="F32" s="16" t="inlineStr"/>
      <c r="G32" s="16" t="inlineStr">
        <is>
          <t>Critical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PRE-032</t>
        </is>
      </c>
      <c r="B33" s="16" t="inlineStr">
        <is>
          <t>Data &amp; databases</t>
        </is>
      </c>
      <c r="C33" s="16" t="inlineStr">
        <is>
          <t>Schema / code conversion assessed for heterogeneous moves</t>
        </is>
      </c>
      <c r="D33" s="16" t="inlineStr">
        <is>
          <t>Stored procedures, triggers, data types, collation and character set.</t>
        </is>
      </c>
      <c r="E33" s="16" t="inlineStr">
        <is>
          <t>Database Migration Service (homogeneous + Oracle → PostgreSQL / AlloyDB)</t>
        </is>
      </c>
      <c r="F33" s="16" t="inlineStr"/>
      <c r="G33" s="16" t="inlineStr">
        <is>
          <t>High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PRE-033</t>
        </is>
      </c>
      <c r="B34" s="16" t="inlineStr">
        <is>
          <t>Data &amp; databases</t>
        </is>
      </c>
      <c r="C34" s="16" t="inlineStr">
        <is>
          <t>Data validation approach agreed (row counts, checksums, business reports)</t>
        </is>
      </c>
      <c r="D34" s="16" t="inlineStr">
        <is>
          <t>Define pass criteria before migration.</t>
        </is>
      </c>
      <c r="E34" s="16" t="inlineStr">
        <is>
          <t>Validation scripts</t>
        </is>
      </c>
      <c r="F34" s="16" t="inlineStr"/>
      <c r="G34" s="16" t="inlineStr">
        <is>
          <t>Critical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PRE-034</t>
        </is>
      </c>
      <c r="B35" s="16" t="inlineStr">
        <is>
          <t>Data &amp; databases</t>
        </is>
      </c>
      <c r="C35" s="16" t="inlineStr">
        <is>
          <t>Bulk data transfer method sized (online vs offline)</t>
        </is>
      </c>
      <c r="D35" s="16" t="inlineStr">
        <is>
          <t>Storage Transfer Service / Transfer Appliance</t>
        </is>
      </c>
      <c r="E35" s="16" t="inlineStr">
        <is>
          <t>Storage Transfer Service / Transfer Appliance</t>
        </is>
      </c>
      <c r="F35" s="16" t="inlineStr"/>
      <c r="G35" s="16" t="inlineStr">
        <is>
          <t>Medium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PRE-035</t>
        </is>
      </c>
      <c r="B36" s="16" t="inlineStr">
        <is>
          <t>Application readiness</t>
        </is>
      </c>
      <c r="C36" s="16" t="inlineStr">
        <is>
          <t>Hard-coded IPs, hostnames and file paths identified</t>
        </is>
      </c>
      <c r="D36" s="16" t="inlineStr">
        <is>
          <t>Search configs, scripts, ODBC / JDBC strings and scheduled tasks.</t>
        </is>
      </c>
      <c r="E36" s="16" t="inlineStr">
        <is>
          <t>Code / config scan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</row>
    <row r="37">
      <c r="A37" s="16" t="inlineStr">
        <is>
          <t>PRE-036</t>
        </is>
      </c>
      <c r="B37" s="16" t="inlineStr">
        <is>
          <t>Application readiness</t>
        </is>
      </c>
      <c r="C37" s="16" t="inlineStr">
        <is>
          <t>Certificates and secrets inventoried and migrated to a vault</t>
        </is>
      </c>
      <c r="D37" s="16" t="inlineStr">
        <is>
          <t>Cloud KMS customer-managed encryption keys</t>
        </is>
      </c>
      <c r="E37" s="16" t="inlineStr">
        <is>
          <t>Cloud KMS customer-managed encryption keys</t>
        </is>
      </c>
      <c r="F37" s="16" t="inlineStr"/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</row>
    <row r="38">
      <c r="A38" s="16" t="inlineStr">
        <is>
          <t>PRE-037</t>
        </is>
      </c>
      <c r="B38" s="16" t="inlineStr">
        <is>
          <t>Application readiness</t>
        </is>
      </c>
      <c r="C38" s="16" t="inlineStr">
        <is>
          <t>Third-party integrations and IP allow-lists notified</t>
        </is>
      </c>
      <c r="D38" s="16" t="inlineStr">
        <is>
          <t>Banks, payment gateways, SaaS, partners that allow-list your egress IPs.</t>
        </is>
      </c>
      <c r="E38" s="16" t="inlineStr">
        <is>
          <t>Integration register</t>
        </is>
      </c>
      <c r="F38" s="16" t="inlineStr"/>
      <c r="G38" s="16" t="inlineStr">
        <is>
          <t>Critical</t>
        </is>
      </c>
      <c r="H38" s="16" t="inlineStr">
        <is>
          <t>Not started</t>
        </is>
      </c>
      <c r="I38" s="16" t="inlineStr"/>
      <c r="J38" s="16" t="inlineStr"/>
      <c r="K38" s="16" t="inlineStr"/>
    </row>
    <row r="39">
      <c r="A39" s="16" t="inlineStr">
        <is>
          <t>PRE-038</t>
        </is>
      </c>
      <c r="B39" s="16" t="inlineStr">
        <is>
          <t>Application readiness</t>
        </is>
      </c>
      <c r="C39" s="16" t="inlineStr">
        <is>
          <t>OS and runtime support validated on target</t>
        </is>
      </c>
      <c r="D39" s="16" t="inlineStr">
        <is>
          <t>End-of-support OS flagged for remediation or ESU.</t>
        </is>
      </c>
      <c r="E39" s="16" t="inlineStr">
        <is>
          <t>Compatibility matrix</t>
        </is>
      </c>
      <c r="F39" s="16" t="inlineStr"/>
      <c r="G39" s="16" t="inlineStr">
        <is>
          <t>Medium</t>
        </is>
      </c>
      <c r="H39" s="16" t="inlineStr">
        <is>
          <t>Not started</t>
        </is>
      </c>
      <c r="I39" s="16" t="inlineStr"/>
      <c r="J39" s="16" t="inlineStr"/>
      <c r="K39" s="16" t="inlineStr"/>
    </row>
    <row r="40">
      <c r="A40" s="16" t="inlineStr">
        <is>
          <t>PRE-039</t>
        </is>
      </c>
      <c r="B40" s="16" t="inlineStr">
        <is>
          <t>Application readiness</t>
        </is>
      </c>
      <c r="C40" s="16" t="inlineStr">
        <is>
          <t>Batch jobs and schedulers mapped to new hosts</t>
        </is>
      </c>
      <c r="D40" s="16" t="inlineStr">
        <is>
          <t>Cron, Control-M, SQL Agent, Windows Task Scheduler.</t>
        </is>
      </c>
      <c r="E40" s="16" t="inlineStr">
        <is>
          <t>Batch inventory</t>
        </is>
      </c>
      <c r="F40" s="16" t="inlineStr"/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</row>
    <row r="41">
      <c r="A41" s="16" t="inlineStr">
        <is>
          <t>PRE-040</t>
        </is>
      </c>
      <c r="B41" s="16" t="inlineStr">
        <is>
          <t>Backup &amp; DR</t>
        </is>
      </c>
      <c r="C41" s="16" t="inlineStr">
        <is>
          <t>Backup policies defined per tier and applied by default</t>
        </is>
      </c>
      <c r="D41" s="16" t="inlineStr">
        <is>
          <t>Backup and DR Service</t>
        </is>
      </c>
      <c r="E41" s="16" t="inlineStr">
        <is>
          <t>Backup and DR Service</t>
        </is>
      </c>
      <c r="F41" s="16" t="inlineStr"/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</row>
    <row r="42">
      <c r="A42" s="16" t="inlineStr">
        <is>
          <t>PRE-041</t>
        </is>
      </c>
      <c r="B42" s="16" t="inlineStr">
        <is>
          <t>Backup &amp; DR</t>
        </is>
      </c>
      <c r="C42" s="16" t="inlineStr">
        <is>
          <t>RTO / RPO agreed per application and DR design approved</t>
        </is>
      </c>
      <c r="D42" s="16" t="inlineStr">
        <is>
          <t>Regional / cross-region replication with Backup and DR Service</t>
        </is>
      </c>
      <c r="E42" s="16" t="inlineStr">
        <is>
          <t>Regional / cross-region replication with Backup and DR Service</t>
        </is>
      </c>
      <c r="F42" s="16" t="inlineStr"/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</row>
    <row r="43">
      <c r="A43" s="16" t="inlineStr">
        <is>
          <t>PRE-042</t>
        </is>
      </c>
      <c r="B43" s="16" t="inlineStr">
        <is>
          <t>Backup &amp; DR</t>
        </is>
      </c>
      <c r="C43" s="16" t="inlineStr">
        <is>
          <t>Pre-migration backup of every source system verified restorable</t>
        </is>
      </c>
      <c r="D43" s="16" t="inlineStr">
        <is>
          <t>Your rollback depends on it.</t>
        </is>
      </c>
      <c r="E43" s="16" t="inlineStr">
        <is>
          <t>Backup report</t>
        </is>
      </c>
      <c r="F43" s="16" t="inlineStr"/>
      <c r="G43" s="16" t="inlineStr">
        <is>
          <t>Critical</t>
        </is>
      </c>
      <c r="H43" s="16" t="inlineStr">
        <is>
          <t>Not started</t>
        </is>
      </c>
      <c r="I43" s="16" t="inlineStr"/>
      <c r="J43" s="16" t="inlineStr"/>
      <c r="K43" s="16" t="inlineStr"/>
    </row>
    <row r="44">
      <c r="A44" s="16" t="inlineStr">
        <is>
          <t>PRE-043</t>
        </is>
      </c>
      <c r="B44" s="16" t="inlineStr">
        <is>
          <t>Testing</t>
        </is>
      </c>
      <c r="C44" s="16" t="inlineStr">
        <is>
          <t>Test plan and UAT scripts signed off by application owners</t>
        </is>
      </c>
      <c r="D44" s="16" t="inlineStr">
        <is>
          <t>Functional, integration, performance and DR tests.</t>
        </is>
      </c>
      <c r="E44" s="16" t="inlineStr">
        <is>
          <t>Test plan</t>
        </is>
      </c>
      <c r="F44" s="16" t="inlineStr"/>
      <c r="G44" s="16" t="inlineStr">
        <is>
          <t>Critical</t>
        </is>
      </c>
      <c r="H44" s="16" t="inlineStr">
        <is>
          <t>Not started</t>
        </is>
      </c>
      <c r="I44" s="16" t="inlineStr"/>
      <c r="J44" s="16" t="inlineStr"/>
      <c r="K44" s="16" t="inlineStr"/>
    </row>
    <row r="45">
      <c r="A45" s="16" t="inlineStr">
        <is>
          <t>PRE-044</t>
        </is>
      </c>
      <c r="B45" s="16" t="inlineStr">
        <is>
          <t>Testing</t>
        </is>
      </c>
      <c r="C45" s="16" t="inlineStr">
        <is>
          <t>Performance baseline captured on source</t>
        </is>
      </c>
      <c r="D45" s="16" t="inlineStr">
        <is>
          <t>Key transactions, batch runtimes, report durations.</t>
        </is>
      </c>
      <c r="E45" s="16" t="inlineStr">
        <is>
          <t>Cloud Monitoring, Managed Service for Prometheus</t>
        </is>
      </c>
      <c r="F45" s="16" t="inlineStr"/>
      <c r="G45" s="16" t="inlineStr">
        <is>
          <t>High</t>
        </is>
      </c>
      <c r="H45" s="16" t="inlineStr">
        <is>
          <t>Not started</t>
        </is>
      </c>
      <c r="I45" s="16" t="inlineStr"/>
      <c r="J45" s="16" t="inlineStr"/>
      <c r="K45" s="16" t="inlineStr"/>
    </row>
    <row r="46">
      <c r="A46" s="16" t="inlineStr">
        <is>
          <t>PRE-045</t>
        </is>
      </c>
      <c r="B46" s="16" t="inlineStr">
        <is>
          <t>Testing</t>
        </is>
      </c>
      <c r="C46" s="16" t="inlineStr">
        <is>
          <t>Test migration / test failover completed for the wave</t>
        </is>
      </c>
      <c r="D46" s="16" t="inlineStr">
        <is>
          <t>Migrate to Virtual Machines</t>
        </is>
      </c>
      <c r="E46" s="16" t="inlineStr">
        <is>
          <t>Migrate to Virtual Machines</t>
        </is>
      </c>
      <c r="F46" s="16" t="inlineStr"/>
      <c r="G46" s="16" t="inlineStr">
        <is>
          <t>Critical</t>
        </is>
      </c>
      <c r="H46" s="16" t="inlineStr">
        <is>
          <t>Not started</t>
        </is>
      </c>
      <c r="I46" s="16" t="inlineStr"/>
      <c r="J46" s="16" t="inlineStr"/>
      <c r="K46" s="16" t="inlineStr"/>
    </row>
    <row r="47">
      <c r="A47" s="16" t="inlineStr">
        <is>
          <t>PRE-046</t>
        </is>
      </c>
      <c r="B47" s="16" t="inlineStr">
        <is>
          <t>Cutover readiness</t>
        </is>
      </c>
      <c r="C47" s="16" t="inlineStr">
        <is>
          <t>Cutover runbook rehearsed end-to-end</t>
        </is>
      </c>
      <c r="D47" s="16" t="inlineStr">
        <is>
          <t>Timed rehearsal; update durations.</t>
        </is>
      </c>
      <c r="E47" s="16" t="inlineStr">
        <is>
          <t>Cutover runbook</t>
        </is>
      </c>
      <c r="F47" s="16" t="inlineStr"/>
      <c r="G47" s="16" t="inlineStr">
        <is>
          <t>Critical</t>
        </is>
      </c>
      <c r="H47" s="16" t="inlineStr">
        <is>
          <t>Not started</t>
        </is>
      </c>
      <c r="I47" s="16" t="inlineStr"/>
      <c r="J47" s="16" t="inlineStr"/>
      <c r="K47" s="16" t="inlineStr"/>
    </row>
    <row r="48">
      <c r="A48" s="16" t="inlineStr">
        <is>
          <t>PRE-047</t>
        </is>
      </c>
      <c r="B48" s="16" t="inlineStr">
        <is>
          <t>Cutover readiness</t>
        </is>
      </c>
      <c r="C48" s="16" t="inlineStr">
        <is>
          <t>Rollback triggers and decision owner agreed</t>
        </is>
      </c>
      <c r="D48" s="16" t="inlineStr">
        <is>
          <t>Who calls rollback, at what time, on what evidence.</t>
        </is>
      </c>
      <c r="E48" s="16" t="inlineStr">
        <is>
          <t>Cutover runbook</t>
        </is>
      </c>
      <c r="F48" s="16" t="inlineStr"/>
      <c r="G48" s="16" t="inlineStr">
        <is>
          <t>Critical</t>
        </is>
      </c>
      <c r="H48" s="16" t="inlineStr">
        <is>
          <t>Not started</t>
        </is>
      </c>
      <c r="I48" s="16" t="inlineStr"/>
      <c r="J48" s="16" t="inlineStr"/>
      <c r="K48" s="16" t="inlineStr"/>
    </row>
    <row r="49">
      <c r="A49" s="16" t="inlineStr">
        <is>
          <t>PRE-048</t>
        </is>
      </c>
      <c r="B49" s="16" t="inlineStr">
        <is>
          <t>Cutover readiness</t>
        </is>
      </c>
      <c r="C49" s="16" t="inlineStr">
        <is>
          <t>Go / no-go meeting scheduled with quorum</t>
        </is>
      </c>
      <c r="D49" s="16" t="inlineStr">
        <is>
          <t>Business, IT, security, vendor.</t>
        </is>
      </c>
      <c r="E49" s="16" t="inlineStr">
        <is>
          <t>Go / no-go checklist</t>
        </is>
      </c>
      <c r="F49" s="16" t="inlineStr"/>
      <c r="G49" s="16" t="inlineStr">
        <is>
          <t>High</t>
        </is>
      </c>
      <c r="H49" s="16" t="inlineStr">
        <is>
          <t>Not started</t>
        </is>
      </c>
      <c r="I49" s="16" t="inlineStr"/>
      <c r="J49" s="16" t="inlineStr"/>
      <c r="K49" s="16" t="inlineStr"/>
    </row>
    <row r="50">
      <c r="A50" s="16" t="inlineStr">
        <is>
          <t>PRE-049</t>
        </is>
      </c>
      <c r="B50" s="16" t="inlineStr">
        <is>
          <t>Cutover readiness</t>
        </is>
      </c>
      <c r="C50" s="16" t="inlineStr">
        <is>
          <t>Replication healthy and lag within threshold</t>
        </is>
      </c>
      <c r="D50" s="16" t="inlineStr">
        <is>
          <t>Migrate to Virtual Machines</t>
        </is>
      </c>
      <c r="E50" s="16" t="inlineStr">
        <is>
          <t>Migrate to Virtual Machines</t>
        </is>
      </c>
      <c r="F50" s="16" t="inlineStr"/>
      <c r="G50" s="16" t="inlineStr">
        <is>
          <t>Critical</t>
        </is>
      </c>
      <c r="H50" s="16" t="inlineStr">
        <is>
          <t>Not started</t>
        </is>
      </c>
      <c r="I50" s="16" t="inlineStr"/>
      <c r="J50" s="16" t="inlineStr"/>
      <c r="K50" s="16" t="inlineStr"/>
    </row>
    <row r="51">
      <c r="A51" s="16" t="inlineStr">
        <is>
          <t>PRE-050</t>
        </is>
      </c>
      <c r="B51" s="16" t="inlineStr">
        <is>
          <t>Communications</t>
        </is>
      </c>
      <c r="C51" s="16" t="inlineStr">
        <is>
          <t>User and stakeholder communications sent</t>
        </is>
      </c>
      <c r="D51" s="16" t="inlineStr">
        <is>
          <t>Outage window, what changes, who to call.</t>
        </is>
      </c>
      <c r="E51" s="16" t="inlineStr">
        <is>
          <t>Comms plan</t>
        </is>
      </c>
      <c r="F51" s="16" t="inlineStr"/>
      <c r="G51" s="16" t="inlineStr">
        <is>
          <t>High</t>
        </is>
      </c>
      <c r="H51" s="16" t="inlineStr">
        <is>
          <t>Not started</t>
        </is>
      </c>
      <c r="I51" s="16" t="inlineStr"/>
      <c r="J51" s="16" t="inlineStr"/>
      <c r="K51" s="16" t="inlineStr"/>
    </row>
    <row r="52">
      <c r="A52" s="16" t="inlineStr">
        <is>
          <t>PRE-051</t>
        </is>
      </c>
      <c r="B52" s="16" t="inlineStr">
        <is>
          <t>Communications</t>
        </is>
      </c>
      <c r="C52" s="16" t="inlineStr">
        <is>
          <t>Service desk briefed with known issues and FAQs</t>
        </is>
      </c>
      <c r="D52" s="16" t="inlineStr">
        <is>
          <t>Temporary hypercare queue created.</t>
        </is>
      </c>
      <c r="E52" s="16" t="inlineStr">
        <is>
          <t>ITSM</t>
        </is>
      </c>
      <c r="F52" s="16" t="inlineStr"/>
      <c r="G52" s="16" t="inlineStr">
        <is>
          <t>Medium</t>
        </is>
      </c>
      <c r="H52" s="16" t="inlineStr">
        <is>
          <t>Not started</t>
        </is>
      </c>
      <c r="I52" s="16" t="inlineStr"/>
      <c r="J52" s="16" t="inlineStr"/>
      <c r="K52" s="16" t="inlineStr"/>
    </row>
    <row r="53">
      <c r="A53" s="16" t="inlineStr">
        <is>
          <t>PRE-052</t>
        </is>
      </c>
      <c r="B53" s="16" t="inlineStr">
        <is>
          <t>Operations readiness</t>
        </is>
      </c>
      <c r="C53" s="16" t="inlineStr">
        <is>
          <t>Monitoring and alerting configured on target before cutover</t>
        </is>
      </c>
      <c r="D53" s="16" t="inlineStr">
        <is>
          <t>Cloud Monitoring, Managed Service for Prometheus</t>
        </is>
      </c>
      <c r="E53" s="16" t="inlineStr">
        <is>
          <t>Cloud Monitoring, Managed Service for Prometheus</t>
        </is>
      </c>
      <c r="F53" s="16" t="inlineStr"/>
      <c r="G53" s="16" t="inlineStr">
        <is>
          <t>Critical</t>
        </is>
      </c>
      <c r="H53" s="16" t="inlineStr">
        <is>
          <t>Not started</t>
        </is>
      </c>
      <c r="I53" s="16" t="inlineStr"/>
      <c r="J53" s="16" t="inlineStr"/>
      <c r="K53" s="16" t="inlineStr"/>
    </row>
    <row r="54">
      <c r="A54" s="16" t="inlineStr">
        <is>
          <t>PRE-053</t>
        </is>
      </c>
      <c r="B54" s="16" t="inlineStr">
        <is>
          <t>Operations readiness</t>
        </is>
      </c>
      <c r="C54" s="16" t="inlineStr">
        <is>
          <t>Patching schedule and maintenance windows defined</t>
        </is>
      </c>
      <c r="D54" s="16" t="inlineStr">
        <is>
          <t>VM Manager OS patch management</t>
        </is>
      </c>
      <c r="E54" s="16" t="inlineStr">
        <is>
          <t>VM Manager OS patch management</t>
        </is>
      </c>
      <c r="F54" s="16" t="inlineStr"/>
      <c r="G54" s="16" t="inlineStr">
        <is>
          <t>High</t>
        </is>
      </c>
      <c r="H54" s="16" t="inlineStr">
        <is>
          <t>Not started</t>
        </is>
      </c>
      <c r="I54" s="16" t="inlineStr"/>
      <c r="J54" s="16" t="inlineStr"/>
      <c r="K54" s="16" t="inlineStr"/>
    </row>
    <row r="55">
      <c r="A55" s="16" t="inlineStr">
        <is>
          <t>PRE-054</t>
        </is>
      </c>
      <c r="B55" s="16" t="inlineStr">
        <is>
          <t>Operations readiness</t>
        </is>
      </c>
      <c r="C55" s="16" t="inlineStr">
        <is>
          <t>Runbooks and RACI handed to the operations team</t>
        </is>
      </c>
      <c r="D55" s="16" t="inlineStr">
        <is>
          <t>Run-team shadows the final rehearsal.</t>
        </is>
      </c>
      <c r="E55" s="16" t="inlineStr">
        <is>
          <t>Runbook &amp; RACI</t>
        </is>
      </c>
      <c r="F55" s="16" t="inlineStr"/>
      <c r="G55" s="16" t="inlineStr">
        <is>
          <t>High</t>
        </is>
      </c>
      <c r="H55" s="16" t="inlineStr">
        <is>
          <t>Not started</t>
        </is>
      </c>
      <c r="I55" s="16" t="inlineStr"/>
      <c r="J55" s="16" t="inlineStr"/>
      <c r="K55" s="16" t="inlineStr"/>
    </row>
    <row r="56">
      <c r="A56" s="16" t="inlineStr">
        <is>
          <t>PRE-055</t>
        </is>
      </c>
      <c r="B56" s="16" t="inlineStr">
        <is>
          <t>Operations readiness</t>
        </is>
      </c>
      <c r="C56" s="16" t="inlineStr">
        <is>
          <t>Cost budgets and anomaly alerts configured</t>
        </is>
      </c>
      <c r="D56" s="16" t="inlineStr">
        <is>
          <t>Cloud Billing reports, billing export to BigQuery, FinOps hub</t>
        </is>
      </c>
      <c r="E56" s="16" t="inlineStr">
        <is>
          <t>Cloud Billing reports, billing export to BigQuery, FinOps hub</t>
        </is>
      </c>
      <c r="F56" s="16" t="inlineStr"/>
      <c r="G56" s="16" t="inlineStr">
        <is>
          <t>Medium</t>
        </is>
      </c>
      <c r="H56" s="16" t="inlineStr">
        <is>
          <t>Not started</t>
        </is>
      </c>
      <c r="I56" s="16" t="inlineStr"/>
      <c r="J56" s="16" t="inlineStr"/>
      <c r="K56" s="16" t="inlineStr"/>
    </row>
  </sheetData>
  <autoFilter ref="A1:K56"/>
  <conditionalFormatting sqref="H2:H25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56">
    <cfRule type="cellIs" priority="4" operator="equal" dxfId="3">
      <formula>"Critical"</formula>
    </cfRule>
  </conditionalFormatting>
  <dataValidations count="2">
    <dataValidation sqref="H2:H256" showDropDown="0" showInputMessage="0" showErrorMessage="0" allowBlank="1" type="list">
      <formula1>"Not started,In progress,Done,Blocked,N/A"</formula1>
    </dataValidation>
    <dataValidation sqref="G2:G25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google-cloud-pre-migration-checklist.xlsx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