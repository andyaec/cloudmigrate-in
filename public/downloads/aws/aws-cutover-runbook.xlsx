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tover Plan" sheetId="2" state="visible" r:id="rId2"/>
    <sheet xmlns:r="http://schemas.openxmlformats.org/officeDocument/2006/relationships" name="Go-No-Go" sheetId="3" state="visible" r:id="rId3"/>
    <sheet xmlns:r="http://schemas.openxmlformats.org/officeDocument/2006/relationships" name="Rollback Plan" sheetId="4" state="visible" r:id="rId4"/>
    <sheet xmlns:r="http://schemas.openxmlformats.org/officeDocument/2006/relationships" name="Contacts" sheetId="5" state="visible" r:id="rId5"/>
  </sheets>
  <definedNames>
    <definedName name="_xlnm._FilterDatabase" localSheetId="2" hidden="1">'Go-No-Go'!$A$1:$D$11</definedName>
    <definedName name="_xlnm._FilterDatabase" localSheetId="3" hidden="1">'Rollback Plan'!$A$1:$F$7</definedName>
    <definedName name="_xlnm._FilterDatabase" localSheetId="4" hidden="1">'Contacts'!$A$1:$E$8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 hh:mm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8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E2DA"/>
        </patternFill>
      </fill>
    </dxf>
    <dxf>
      <fill>
        <patternFill patternType="solid">
          <fgColor rgb="00E0EC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Cutover Runbook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Minute-by-minute plan for a migration wave cutover with go / no-go and rollback.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Set the planned start time in cell C2 of the Cutover Plan sheet; start / end times calculate from durations.</t>
        </is>
      </c>
    </row>
    <row r="14">
      <c r="C14" s="6" t="inlineStr">
        <is>
          <t>2. Rehearse at least once and update durations with real timings.</t>
        </is>
      </c>
    </row>
    <row r="15">
      <c r="C15" s="6" t="inlineStr">
        <is>
          <t>3. Hold the go / no-go meeting with quorum; record the decision.</t>
        </is>
      </c>
    </row>
    <row r="16">
      <c r="C16" s="6" t="inlineStr">
        <is>
          <t>4. If a rollback trigger fires, switch to the Rollback Plan sheet immediately.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16" customWidth="1" min="4" max="4"/>
    <col width="10" customWidth="1" min="5" max="5"/>
    <col width="17" customWidth="1" min="6" max="6"/>
    <col width="17" customWidth="1" min="7" max="7"/>
    <col width="10" customWidth="1" min="8" max="8"/>
    <col width="13" customWidth="1" min="9" max="9"/>
    <col width="17" customWidth="1" min="10" max="10"/>
    <col width="10" customWidth="1" min="11" max="11"/>
    <col width="30" customWidth="1" min="12" max="12"/>
  </cols>
  <sheetData>
    <row r="1">
      <c r="A1" s="9" t="inlineStr">
        <is>
          <t>Planned start</t>
        </is>
      </c>
    </row>
    <row r="2">
      <c r="A2" t="inlineStr">
        <is>
          <t>Cutover start (edit) →</t>
        </is>
      </c>
      <c r="C2" s="10" t="n">
        <v>46333.91666666666</v>
      </c>
    </row>
    <row r="4">
      <c r="A4" s="11" t="inlineStr">
        <is>
          <t>Step</t>
        </is>
      </c>
      <c r="B4" s="11" t="inlineStr">
        <is>
          <t>Phase</t>
        </is>
      </c>
      <c r="C4" s="11" t="inlineStr">
        <is>
          <t>Task</t>
        </is>
      </c>
      <c r="D4" s="11" t="inlineStr">
        <is>
          <t>Owner</t>
        </is>
      </c>
      <c r="E4" s="11" t="inlineStr">
        <is>
          <t>Duration (min)</t>
        </is>
      </c>
      <c r="F4" s="11" t="inlineStr">
        <is>
          <t>Planned start</t>
        </is>
      </c>
      <c r="G4" s="11" t="inlineStr">
        <is>
          <t>Planned end</t>
        </is>
      </c>
      <c r="H4" s="11" t="inlineStr">
        <is>
          <t>Go/No-go gate</t>
        </is>
      </c>
      <c r="I4" s="11" t="inlineStr">
        <is>
          <t>Status</t>
        </is>
      </c>
      <c r="J4" s="11" t="inlineStr">
        <is>
          <t>Actual end</t>
        </is>
      </c>
      <c r="K4" s="11" t="inlineStr">
        <is>
          <t>Rollback ref</t>
        </is>
      </c>
      <c r="L4" s="11" t="inlineStr">
        <is>
          <t>Notes</t>
        </is>
      </c>
    </row>
    <row r="5">
      <c r="A5" s="12" t="n">
        <v>1</v>
      </c>
      <c r="B5" s="12" t="inlineStr">
        <is>
          <t>T-7 days</t>
        </is>
      </c>
      <c r="C5" s="12" t="inlineStr">
        <is>
          <t>Confirm wave scope, owners, communications and change approval</t>
        </is>
      </c>
      <c r="D5" s="12" t="inlineStr">
        <is>
          <t>Migration lead</t>
        </is>
      </c>
      <c r="E5" s="12" t="n">
        <v>0</v>
      </c>
      <c r="F5" s="13" t="inlineStr"/>
      <c r="G5" s="13" t="inlineStr"/>
      <c r="H5" s="12" t="inlineStr"/>
      <c r="I5" s="12" t="inlineStr">
        <is>
          <t>Not started</t>
        </is>
      </c>
      <c r="J5" s="13" t="n"/>
      <c r="K5" s="12" t="inlineStr">
        <is>
          <t>RB-0</t>
        </is>
      </c>
      <c r="L5" s="12" t="n"/>
    </row>
    <row r="6">
      <c r="A6" s="12" t="n">
        <v>2</v>
      </c>
      <c r="B6" s="12" t="inlineStr">
        <is>
          <t>T-2 days</t>
        </is>
      </c>
      <c r="C6" s="12" t="inlineStr">
        <is>
          <t>Lower DNS TTLs to ≤ 300 s; confirm replication healthy and lag &lt; threshold</t>
        </is>
      </c>
      <c r="D6" s="12" t="inlineStr">
        <is>
          <t>Network lead</t>
        </is>
      </c>
      <c r="E6" s="12" t="n">
        <v>0</v>
      </c>
      <c r="F6" s="13" t="inlineStr"/>
      <c r="G6" s="13" t="inlineStr"/>
      <c r="H6" s="12" t="inlineStr"/>
      <c r="I6" s="12" t="inlineStr">
        <is>
          <t>Not started</t>
        </is>
      </c>
      <c r="J6" s="13" t="n"/>
      <c r="K6" s="12" t="inlineStr">
        <is>
          <t>RB-0</t>
        </is>
      </c>
      <c r="L6" s="12" t="n"/>
    </row>
    <row r="7">
      <c r="A7" s="12" t="n">
        <v>3</v>
      </c>
      <c r="B7" s="12" t="inlineStr">
        <is>
          <t>T-1 day</t>
        </is>
      </c>
      <c r="C7" s="12" t="inlineStr">
        <is>
          <t>Final test migration / failover reviewed; known issues logged</t>
        </is>
      </c>
      <c r="D7" s="12" t="inlineStr">
        <is>
          <t>Migration engineer</t>
        </is>
      </c>
      <c r="E7" s="12" t="n">
        <v>0</v>
      </c>
      <c r="F7" s="13" t="inlineStr"/>
      <c r="G7" s="13" t="inlineStr"/>
      <c r="H7" s="12" t="inlineStr"/>
      <c r="I7" s="12" t="inlineStr">
        <is>
          <t>Not started</t>
        </is>
      </c>
      <c r="J7" s="13" t="n"/>
      <c r="K7" s="12" t="inlineStr">
        <is>
          <t>RB-0</t>
        </is>
      </c>
      <c r="L7" s="12" t="n"/>
    </row>
    <row r="8">
      <c r="A8" s="12" t="n">
        <v>4</v>
      </c>
      <c r="B8" s="12" t="inlineStr">
        <is>
          <t>Go / no-go</t>
        </is>
      </c>
      <c r="C8" s="12" t="inlineStr">
        <is>
          <t>Go / no-go meeting: readiness checklist, staffing, rollback owner present</t>
        </is>
      </c>
      <c r="D8" s="12" t="inlineStr">
        <is>
          <t>Migration lead</t>
        </is>
      </c>
      <c r="E8" s="12" t="n">
        <v>30</v>
      </c>
      <c r="F8" s="13">
        <f>$C$2</f>
        <v/>
      </c>
      <c r="G8" s="13">
        <f>F8+E8/1440</f>
        <v/>
      </c>
      <c r="H8" s="12" t="inlineStr">
        <is>
          <t>GATE</t>
        </is>
      </c>
      <c r="I8" s="12" t="inlineStr">
        <is>
          <t>Not started</t>
        </is>
      </c>
      <c r="J8" s="13" t="n"/>
      <c r="K8" s="12" t="inlineStr">
        <is>
          <t>RB-0</t>
        </is>
      </c>
      <c r="L8" s="12" t="n"/>
    </row>
    <row r="9">
      <c r="A9" s="12" t="n">
        <v>5</v>
      </c>
      <c r="B9" s="12" t="inlineStr">
        <is>
          <t>Freeze</t>
        </is>
      </c>
      <c r="C9" s="12" t="inlineStr">
        <is>
          <t>Announce outage; disable user access / put application in maintenance mode</t>
        </is>
      </c>
      <c r="D9" s="12" t="inlineStr">
        <is>
          <t>App owner</t>
        </is>
      </c>
      <c r="E9" s="12" t="n">
        <v>15</v>
      </c>
      <c r="F9" s="13">
        <f>G8</f>
        <v/>
      </c>
      <c r="G9" s="13">
        <f>F9+E9/1440</f>
        <v/>
      </c>
      <c r="H9" s="12" t="inlineStr"/>
      <c r="I9" s="12" t="inlineStr">
        <is>
          <t>Not started</t>
        </is>
      </c>
      <c r="J9" s="13" t="n"/>
      <c r="K9" s="12" t="inlineStr">
        <is>
          <t>RB-1</t>
        </is>
      </c>
      <c r="L9" s="12" t="n"/>
    </row>
    <row r="10">
      <c r="A10" s="12" t="n">
        <v>6</v>
      </c>
      <c r="B10" s="12" t="inlineStr">
        <is>
          <t>Freeze</t>
        </is>
      </c>
      <c r="C10" s="12" t="inlineStr">
        <is>
          <t>Stop application services and scheduled jobs on source</t>
        </is>
      </c>
      <c r="D10" s="12" t="inlineStr">
        <is>
          <t>App support</t>
        </is>
      </c>
      <c r="E10" s="12" t="n">
        <v>15</v>
      </c>
      <c r="F10" s="13">
        <f>G9</f>
        <v/>
      </c>
      <c r="G10" s="13">
        <f>F10+E10/1440</f>
        <v/>
      </c>
      <c r="H10" s="12" t="inlineStr"/>
      <c r="I10" s="12" t="inlineStr">
        <is>
          <t>Not started</t>
        </is>
      </c>
      <c r="J10" s="13" t="n"/>
      <c r="K10" s="12" t="inlineStr">
        <is>
          <t>RB-1</t>
        </is>
      </c>
      <c r="L10" s="12" t="n"/>
    </row>
    <row r="11">
      <c r="A11" s="12" t="n">
        <v>7</v>
      </c>
      <c r="B11" s="12" t="inlineStr">
        <is>
          <t>Data sync</t>
        </is>
      </c>
      <c r="C11" s="12" t="inlineStr">
        <is>
          <t>Confirm final replication / CDC sync; record source row counts and checksums</t>
        </is>
      </c>
      <c r="D11" s="12" t="inlineStr">
        <is>
          <t>DBA</t>
        </is>
      </c>
      <c r="E11" s="12" t="n">
        <v>30</v>
      </c>
      <c r="F11" s="13">
        <f>G10</f>
        <v/>
      </c>
      <c r="G11" s="13">
        <f>F11+E11/1440</f>
        <v/>
      </c>
      <c r="H11" s="12" t="inlineStr"/>
      <c r="I11" s="12" t="inlineStr">
        <is>
          <t>Not started</t>
        </is>
      </c>
      <c r="J11" s="13" t="n"/>
      <c r="K11" s="12" t="inlineStr">
        <is>
          <t>RB-2</t>
        </is>
      </c>
      <c r="L11" s="12" t="n"/>
    </row>
    <row r="12">
      <c r="A12" s="12" t="n">
        <v>8</v>
      </c>
      <c r="B12" s="12" t="inlineStr">
        <is>
          <t>Data sync</t>
        </is>
      </c>
      <c r="C12" s="12" t="inlineStr">
        <is>
          <t>Set source databases read-only</t>
        </is>
      </c>
      <c r="D12" s="12" t="inlineStr">
        <is>
          <t>DBA</t>
        </is>
      </c>
      <c r="E12" s="12" t="n">
        <v>10</v>
      </c>
      <c r="F12" s="13">
        <f>G11</f>
        <v/>
      </c>
      <c r="G12" s="13">
        <f>F12+E12/1440</f>
        <v/>
      </c>
      <c r="H12" s="12" t="inlineStr"/>
      <c r="I12" s="12" t="inlineStr">
        <is>
          <t>Not started</t>
        </is>
      </c>
      <c r="J12" s="13" t="n"/>
      <c r="K12" s="12" t="inlineStr">
        <is>
          <t>RB-2</t>
        </is>
      </c>
      <c r="L12" s="12" t="n"/>
    </row>
    <row r="13">
      <c r="A13" s="12" t="n">
        <v>9</v>
      </c>
      <c r="B13" s="12" t="inlineStr">
        <is>
          <t>Cutover</t>
        </is>
      </c>
      <c r="C13" s="12" t="inlineStr">
        <is>
          <t>Launch / promote target instances (AWS Application Migration Service (MGN))</t>
        </is>
      </c>
      <c r="D13" s="12" t="inlineStr">
        <is>
          <t>Migration engineer</t>
        </is>
      </c>
      <c r="E13" s="12" t="n">
        <v>30</v>
      </c>
      <c r="F13" s="13">
        <f>G12</f>
        <v/>
      </c>
      <c r="G13" s="13">
        <f>F13+E13/1440</f>
        <v/>
      </c>
      <c r="H13" s="12" t="inlineStr"/>
      <c r="I13" s="12" t="inlineStr">
        <is>
          <t>Not started</t>
        </is>
      </c>
      <c r="J13" s="13" t="n"/>
      <c r="K13" s="12" t="inlineStr">
        <is>
          <t>RB-3</t>
        </is>
      </c>
      <c r="L13" s="12" t="n"/>
    </row>
    <row r="14">
      <c r="A14" s="12" t="n">
        <v>10</v>
      </c>
      <c r="B14" s="12" t="inlineStr">
        <is>
          <t>Cutover</t>
        </is>
      </c>
      <c r="C14" s="12" t="inlineStr">
        <is>
          <t>Complete database switchover (AWS DMS with CDC; DMS Schema Conversion for heterogeneous moves)</t>
        </is>
      </c>
      <c r="D14" s="12" t="inlineStr">
        <is>
          <t>DBA</t>
        </is>
      </c>
      <c r="E14" s="12" t="n">
        <v>30</v>
      </c>
      <c r="F14" s="13">
        <f>G13</f>
        <v/>
      </c>
      <c r="G14" s="13">
        <f>F14+E14/1440</f>
        <v/>
      </c>
      <c r="H14" s="12" t="inlineStr"/>
      <c r="I14" s="12" t="inlineStr">
        <is>
          <t>Not started</t>
        </is>
      </c>
      <c r="J14" s="13" t="n"/>
      <c r="K14" s="12" t="inlineStr">
        <is>
          <t>RB-3</t>
        </is>
      </c>
      <c r="L14" s="12" t="n"/>
    </row>
    <row r="15">
      <c r="A15" s="12" t="n">
        <v>11</v>
      </c>
      <c r="B15" s="12" t="inlineStr">
        <is>
          <t>Cutover</t>
        </is>
      </c>
      <c r="C15" s="12" t="inlineStr">
        <is>
          <t>Update connection strings, secrets and configuration</t>
        </is>
      </c>
      <c r="D15" s="12" t="inlineStr">
        <is>
          <t>App support</t>
        </is>
      </c>
      <c r="E15" s="12" t="n">
        <v>20</v>
      </c>
      <c r="F15" s="13">
        <f>G14</f>
        <v/>
      </c>
      <c r="G15" s="13">
        <f>F15+E15/1440</f>
        <v/>
      </c>
      <c r="H15" s="12" t="inlineStr"/>
      <c r="I15" s="12" t="inlineStr">
        <is>
          <t>Not started</t>
        </is>
      </c>
      <c r="J15" s="13" t="n"/>
      <c r="K15" s="12" t="inlineStr">
        <is>
          <t>RB-3</t>
        </is>
      </c>
      <c r="L15" s="12" t="n"/>
    </row>
    <row r="16">
      <c r="A16" s="12" t="n">
        <v>12</v>
      </c>
      <c r="B16" s="12" t="inlineStr">
        <is>
          <t>Cutover</t>
        </is>
      </c>
      <c r="C16" s="12" t="inlineStr">
        <is>
          <t>Switch DNS / load balancer to target</t>
        </is>
      </c>
      <c r="D16" s="12" t="inlineStr">
        <is>
          <t>Network lead</t>
        </is>
      </c>
      <c r="E16" s="12" t="n">
        <v>15</v>
      </c>
      <c r="F16" s="13">
        <f>G15</f>
        <v/>
      </c>
      <c r="G16" s="13">
        <f>F16+E16/1440</f>
        <v/>
      </c>
      <c r="H16" s="12" t="inlineStr"/>
      <c r="I16" s="12" t="inlineStr">
        <is>
          <t>Not started</t>
        </is>
      </c>
      <c r="J16" s="13" t="n"/>
      <c r="K16" s="12" t="inlineStr">
        <is>
          <t>RB-4</t>
        </is>
      </c>
      <c r="L16" s="12" t="n"/>
    </row>
    <row r="17">
      <c r="A17" s="12" t="n">
        <v>13</v>
      </c>
      <c r="B17" s="12" t="inlineStr">
        <is>
          <t>Validate</t>
        </is>
      </c>
      <c r="C17" s="12" t="inlineStr">
        <is>
          <t>Technical smoke tests (services up, ports, logs, monitoring)</t>
        </is>
      </c>
      <c r="D17" s="12" t="inlineStr">
        <is>
          <t>Migration engineer</t>
        </is>
      </c>
      <c r="E17" s="12" t="n">
        <v>20</v>
      </c>
      <c r="F17" s="13">
        <f>G16</f>
        <v/>
      </c>
      <c r="G17" s="13">
        <f>F17+E17/1440</f>
        <v/>
      </c>
      <c r="H17" s="12" t="inlineStr"/>
      <c r="I17" s="12" t="inlineStr">
        <is>
          <t>Not started</t>
        </is>
      </c>
      <c r="J17" s="13" t="n"/>
      <c r="K17" s="12" t="inlineStr">
        <is>
          <t>RB-4</t>
        </is>
      </c>
      <c r="L17" s="12" t="n"/>
    </row>
    <row r="18">
      <c r="A18" s="12" t="n">
        <v>14</v>
      </c>
      <c r="B18" s="12" t="inlineStr">
        <is>
          <t>Validate</t>
        </is>
      </c>
      <c r="C18" s="12" t="inlineStr">
        <is>
          <t>Data reconciliation: row counts, checksums, control totals</t>
        </is>
      </c>
      <c r="D18" s="12" t="inlineStr">
        <is>
          <t>DBA + data owner</t>
        </is>
      </c>
      <c r="E18" s="12" t="n">
        <v>30</v>
      </c>
      <c r="F18" s="13">
        <f>G17</f>
        <v/>
      </c>
      <c r="G18" s="13">
        <f>F18+E18/1440</f>
        <v/>
      </c>
      <c r="H18" s="12" t="inlineStr"/>
      <c r="I18" s="12" t="inlineStr">
        <is>
          <t>Not started</t>
        </is>
      </c>
      <c r="J18" s="13" t="n"/>
      <c r="K18" s="12" t="inlineStr">
        <is>
          <t>RB-4</t>
        </is>
      </c>
      <c r="L18" s="12" t="n"/>
    </row>
    <row r="19">
      <c r="A19" s="12" t="n">
        <v>15</v>
      </c>
      <c r="B19" s="12" t="inlineStr">
        <is>
          <t>Validate</t>
        </is>
      </c>
      <c r="C19" s="12" t="inlineStr">
        <is>
          <t>Business validation by key users</t>
        </is>
      </c>
      <c r="D19" s="12" t="inlineStr">
        <is>
          <t>App owner</t>
        </is>
      </c>
      <c r="E19" s="12" t="n">
        <v>45</v>
      </c>
      <c r="F19" s="13">
        <f>G18</f>
        <v/>
      </c>
      <c r="G19" s="13">
        <f>F19+E19/1440</f>
        <v/>
      </c>
      <c r="H19" s="12" t="inlineStr">
        <is>
          <t>GATE</t>
        </is>
      </c>
      <c r="I19" s="12" t="inlineStr">
        <is>
          <t>Not started</t>
        </is>
      </c>
      <c r="J19" s="13" t="n"/>
      <c r="K19" s="12" t="inlineStr">
        <is>
          <t>RB-4</t>
        </is>
      </c>
      <c r="L19" s="12" t="n"/>
    </row>
    <row r="20">
      <c r="A20" s="12" t="n">
        <v>16</v>
      </c>
      <c r="B20" s="12" t="inlineStr">
        <is>
          <t>Decision</t>
        </is>
      </c>
      <c r="C20" s="12" t="inlineStr">
        <is>
          <t>Go-live decision or rollback (before rollback deadline)</t>
        </is>
      </c>
      <c r="D20" s="12" t="inlineStr">
        <is>
          <t>Migration lead</t>
        </is>
      </c>
      <c r="E20" s="12" t="n">
        <v>15</v>
      </c>
      <c r="F20" s="13">
        <f>G19</f>
        <v/>
      </c>
      <c r="G20" s="13">
        <f>F20+E20/1440</f>
        <v/>
      </c>
      <c r="H20" s="12" t="inlineStr">
        <is>
          <t>GATE</t>
        </is>
      </c>
      <c r="I20" s="12" t="inlineStr">
        <is>
          <t>Not started</t>
        </is>
      </c>
      <c r="J20" s="13" t="n"/>
      <c r="K20" s="12" t="inlineStr">
        <is>
          <t>RB-5</t>
        </is>
      </c>
      <c r="L20" s="12" t="n"/>
    </row>
    <row r="21">
      <c r="A21" s="12" t="n">
        <v>17</v>
      </c>
      <c r="B21" s="12" t="inlineStr">
        <is>
          <t>Go-live</t>
        </is>
      </c>
      <c r="C21" s="12" t="inlineStr">
        <is>
          <t>Re-enable user access, scheduled jobs and integrations</t>
        </is>
      </c>
      <c r="D21" s="12" t="inlineStr">
        <is>
          <t>App support</t>
        </is>
      </c>
      <c r="E21" s="12" t="n">
        <v>15</v>
      </c>
      <c r="F21" s="13">
        <f>G20</f>
        <v/>
      </c>
      <c r="G21" s="13">
        <f>F21+E21/1440</f>
        <v/>
      </c>
      <c r="H21" s="12" t="inlineStr"/>
      <c r="I21" s="12" t="inlineStr">
        <is>
          <t>Not started</t>
        </is>
      </c>
      <c r="J21" s="13" t="n"/>
      <c r="K21" s="12" t="inlineStr"/>
      <c r="L21" s="12" t="n"/>
    </row>
    <row r="22">
      <c r="A22" s="12" t="n">
        <v>18</v>
      </c>
      <c r="B22" s="12" t="inlineStr">
        <is>
          <t>Go-live</t>
        </is>
      </c>
      <c r="C22" s="12" t="inlineStr">
        <is>
          <t>Communicate completion; open hypercare queue</t>
        </is>
      </c>
      <c r="D22" s="12" t="inlineStr">
        <is>
          <t>Migration lead</t>
        </is>
      </c>
      <c r="E22" s="12" t="n">
        <v>10</v>
      </c>
      <c r="F22" s="13">
        <f>G21</f>
        <v/>
      </c>
      <c r="G22" s="13">
        <f>F22+E22/1440</f>
        <v/>
      </c>
      <c r="H22" s="12" t="inlineStr"/>
      <c r="I22" s="12" t="inlineStr">
        <is>
          <t>Not started</t>
        </is>
      </c>
      <c r="J22" s="13" t="n"/>
      <c r="K22" s="12" t="inlineStr"/>
      <c r="L22" s="12" t="n"/>
    </row>
    <row r="23">
      <c r="A23" s="12" t="n">
        <v>19</v>
      </c>
      <c r="B23" s="12" t="inlineStr">
        <is>
          <t>Hypercare</t>
        </is>
      </c>
      <c r="C23" s="12" t="inlineStr">
        <is>
          <t>Monitor for 72 h; daily check-ins with owners</t>
        </is>
      </c>
      <c r="D23" s="12" t="inlineStr">
        <is>
          <t>Ops lead</t>
        </is>
      </c>
      <c r="E23" s="12" t="n">
        <v>0</v>
      </c>
      <c r="F23" s="13">
        <f>G22</f>
        <v/>
      </c>
      <c r="G23" s="13">
        <f>F23+E23/1440</f>
        <v/>
      </c>
      <c r="H23" s="12" t="inlineStr"/>
      <c r="I23" s="12" t="inlineStr">
        <is>
          <t>Not started</t>
        </is>
      </c>
      <c r="J23" s="13" t="n"/>
      <c r="K23" s="12" t="inlineStr"/>
      <c r="L23" s="12" t="n"/>
    </row>
    <row r="25">
      <c r="C25" s="9" t="inlineStr">
        <is>
          <t>Total window (hours)</t>
        </is>
      </c>
      <c r="E25" s="14">
        <f>SUM(E8:E23)/60</f>
        <v/>
      </c>
    </row>
  </sheetData>
  <conditionalFormatting sqref="A5:L23">
    <cfRule type="expression" priority="1" dxfId="0">
      <formula>$H5="GATE"</formula>
    </cfRule>
  </conditionalFormatting>
  <conditionalFormatting sqref="I5:I73">
    <cfRule type="cellIs" priority="2" operator="equal" dxfId="1">
      <formula>"Done"</formula>
    </cfRule>
  </conditionalFormatting>
  <dataValidations count="1">
    <dataValidation sqref="I5:I7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8" customWidth="1" min="2" max="2"/>
    <col width="8" customWidth="1" min="3" max="3"/>
    <col width="36" customWidth="1" min="4" max="4"/>
  </cols>
  <sheetData>
    <row r="1" ht="30" customHeight="1">
      <c r="A1" s="11" t="inlineStr">
        <is>
          <t>Criterion</t>
        </is>
      </c>
      <c r="B1" s="11" t="inlineStr">
        <is>
          <t>Owner</t>
        </is>
      </c>
      <c r="C1" s="11" t="inlineStr">
        <is>
          <t>Met?</t>
        </is>
      </c>
      <c r="D1" s="11" t="inlineStr">
        <is>
          <t>Evidence</t>
        </is>
      </c>
    </row>
    <row r="2">
      <c r="A2" s="12" t="inlineStr">
        <is>
          <t>Pre-migration checklist: all Critical items Done or N/A</t>
        </is>
      </c>
      <c r="B2" s="12" t="inlineStr">
        <is>
          <t>Migration lead</t>
        </is>
      </c>
      <c r="C2" s="12" t="inlineStr"/>
      <c r="D2" s="12" t="inlineStr"/>
    </row>
    <row r="3">
      <c r="A3" s="12" t="inlineStr">
        <is>
          <t>Test migration / failover passed in the last 7 days</t>
        </is>
      </c>
      <c r="B3" s="12" t="inlineStr">
        <is>
          <t>Migration engineer</t>
        </is>
      </c>
      <c r="C3" s="12" t="inlineStr"/>
      <c r="D3" s="12" t="inlineStr"/>
    </row>
    <row r="4">
      <c r="A4" s="12" t="inlineStr">
        <is>
          <t>Replication lag within threshold for 24 h</t>
        </is>
      </c>
      <c r="B4" s="12" t="inlineStr">
        <is>
          <t>Migration engineer</t>
        </is>
      </c>
      <c r="C4" s="12" t="inlineStr"/>
      <c r="D4" s="12" t="inlineStr"/>
    </row>
    <row r="5">
      <c r="A5" s="12" t="inlineStr">
        <is>
          <t>Verified backup of source taken in the last 24 h</t>
        </is>
      </c>
      <c r="B5" s="12" t="inlineStr">
        <is>
          <t>DBA</t>
        </is>
      </c>
      <c r="C5" s="12" t="inlineStr"/>
      <c r="D5" s="12" t="inlineStr"/>
    </row>
    <row r="6">
      <c r="A6" s="12" t="inlineStr">
        <is>
          <t>Rollback plan reviewed and rollback owner on call</t>
        </is>
      </c>
      <c r="B6" s="12" t="inlineStr">
        <is>
          <t>Migration lead</t>
        </is>
      </c>
      <c r="C6" s="12" t="inlineStr"/>
      <c r="D6" s="12" t="inlineStr"/>
    </row>
    <row r="7">
      <c r="A7" s="12" t="inlineStr">
        <is>
          <t>Business owner and key users available for validation</t>
        </is>
      </c>
      <c r="B7" s="12" t="inlineStr">
        <is>
          <t>App owner</t>
        </is>
      </c>
      <c r="C7" s="12" t="inlineStr"/>
      <c r="D7" s="12" t="inlineStr"/>
    </row>
    <row r="8">
      <c r="A8" s="12" t="inlineStr">
        <is>
          <t>Change approved and communications sent</t>
        </is>
      </c>
      <c r="B8" s="12" t="inlineStr">
        <is>
          <t>Change manager</t>
        </is>
      </c>
      <c r="C8" s="12" t="inlineStr"/>
      <c r="D8" s="12" t="inlineStr"/>
    </row>
    <row r="9">
      <c r="A9" s="12" t="inlineStr">
        <is>
          <t>No open P1 / P2 incidents on dependent systems</t>
        </is>
      </c>
      <c r="B9" s="12" t="inlineStr">
        <is>
          <t>Ops lead</t>
        </is>
      </c>
      <c r="C9" s="12" t="inlineStr"/>
      <c r="D9" s="12" t="inlineStr"/>
    </row>
    <row r="10">
      <c r="A10" s="12" t="inlineStr">
        <is>
          <t>Monitoring and alerting live on target</t>
        </is>
      </c>
      <c r="B10" s="12" t="inlineStr">
        <is>
          <t>Ops lead</t>
        </is>
      </c>
      <c r="C10" s="12" t="inlineStr"/>
      <c r="D10" s="12" t="inlineStr"/>
    </row>
    <row r="11">
      <c r="A11" s="12" t="inlineStr">
        <is>
          <t>Security sign-off (exposure, access, logging)</t>
        </is>
      </c>
      <c r="B11" s="12" t="inlineStr">
        <is>
          <t>Security lead</t>
        </is>
      </c>
      <c r="C11" s="12" t="inlineStr"/>
      <c r="D11" s="12" t="inlineStr"/>
    </row>
  </sheetData>
  <autoFilter ref="A1:D1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16" customWidth="1" min="4" max="4"/>
    <col width="12" customWidth="1" min="5" max="5"/>
    <col width="14" customWidth="1" min="6" max="6"/>
  </cols>
  <sheetData>
    <row r="1" ht="30" customHeight="1">
      <c r="A1" s="11" t="inlineStr">
        <is>
          <t>Ref</t>
        </is>
      </c>
      <c r="B1" s="11" t="inlineStr">
        <is>
          <t>Trigger</t>
        </is>
      </c>
      <c r="C1" s="11" t="inlineStr">
        <is>
          <t>Rollback action</t>
        </is>
      </c>
      <c r="D1" s="11" t="inlineStr">
        <is>
          <t>Owner</t>
        </is>
      </c>
      <c r="E1" s="11" t="inlineStr">
        <is>
          <t>Duration (min)</t>
        </is>
      </c>
      <c r="F1" s="11" t="inlineStr">
        <is>
          <t>Point of no return?</t>
        </is>
      </c>
    </row>
    <row r="2">
      <c r="A2" s="12" t="inlineStr">
        <is>
          <t>RB-0</t>
        </is>
      </c>
      <c r="B2" s="12" t="inlineStr">
        <is>
          <t>Pre-cutover readiness not met</t>
        </is>
      </c>
      <c r="C2" s="12" t="inlineStr">
        <is>
          <t>Postpone wave; no changes made to production.</t>
        </is>
      </c>
      <c r="D2" s="12" t="inlineStr">
        <is>
          <t>Migration lead</t>
        </is>
      </c>
      <c r="E2" s="12" t="n">
        <v>0</v>
      </c>
      <c r="F2" s="12" t="inlineStr">
        <is>
          <t>No</t>
        </is>
      </c>
    </row>
    <row r="3">
      <c r="A3" s="12" t="inlineStr">
        <is>
          <t>RB-1</t>
        </is>
      </c>
      <c r="B3" s="12" t="inlineStr">
        <is>
          <t>Unable to stop source services cleanly</t>
        </is>
      </c>
      <c r="C3" s="12" t="inlineStr">
        <is>
          <t>Restart source services; re-open access; reschedule.</t>
        </is>
      </c>
      <c r="D3" s="12" t="inlineStr">
        <is>
          <t>App support</t>
        </is>
      </c>
      <c r="E3" s="12" t="n">
        <v>15</v>
      </c>
      <c r="F3" s="12" t="inlineStr">
        <is>
          <t>No</t>
        </is>
      </c>
    </row>
    <row r="4">
      <c r="A4" s="12" t="inlineStr">
        <is>
          <t>RB-2</t>
        </is>
      </c>
      <c r="B4" s="12" t="inlineStr">
        <is>
          <t>Final sync incomplete or validation counts mismatch</t>
        </is>
      </c>
      <c r="C4" s="12" t="inlineStr">
        <is>
          <t>Set source read-write; resume source; investigate replication.</t>
        </is>
      </c>
      <c r="D4" s="12" t="inlineStr">
        <is>
          <t>DBA</t>
        </is>
      </c>
      <c r="E4" s="12" t="n">
        <v>20</v>
      </c>
      <c r="F4" s="12" t="inlineStr">
        <is>
          <t>No</t>
        </is>
      </c>
    </row>
    <row r="5">
      <c r="A5" s="12" t="inlineStr">
        <is>
          <t>RB-3</t>
        </is>
      </c>
      <c r="B5" s="12" t="inlineStr">
        <is>
          <t>Target launch or DB switchover fails</t>
        </is>
      </c>
      <c r="C5" s="12" t="inlineStr">
        <is>
          <t>Abandon target; revert source to read-write; restore DNS.</t>
        </is>
      </c>
      <c r="D5" s="12" t="inlineStr">
        <is>
          <t>Migration engineer</t>
        </is>
      </c>
      <c r="E5" s="12" t="n">
        <v>30</v>
      </c>
      <c r="F5" s="12" t="inlineStr">
        <is>
          <t>No</t>
        </is>
      </c>
    </row>
    <row r="6">
      <c r="A6" s="12" t="inlineStr">
        <is>
          <t>RB-4</t>
        </is>
      </c>
      <c r="B6" s="12" t="inlineStr">
        <is>
          <t>Smoke tests or business validation fail and can't be fixed in the window</t>
        </is>
      </c>
      <c r="C6" s="12" t="inlineStr">
        <is>
          <t>Revert DNS / load balancer; re-enable source; capture target state for analysis.</t>
        </is>
      </c>
      <c r="D6" s="12" t="inlineStr">
        <is>
          <t>Network lead</t>
        </is>
      </c>
      <c r="E6" s="12" t="n">
        <v>30</v>
      </c>
      <c r="F6" s="12" t="inlineStr">
        <is>
          <t>No</t>
        </is>
      </c>
    </row>
    <row r="7">
      <c r="A7" s="12" t="inlineStr">
        <is>
          <t>RB-5</t>
        </is>
      </c>
      <c r="B7" s="12" t="inlineStr">
        <is>
          <t>Go-live decision is no-go</t>
        </is>
      </c>
      <c r="C7" s="12" t="inlineStr">
        <is>
          <t>Execute RB-4; if writes occurred on target, reverse-sync or replay per DB plan.</t>
        </is>
      </c>
      <c r="D7" s="12" t="inlineStr">
        <is>
          <t>Migration lead</t>
        </is>
      </c>
      <c r="E7" s="12" t="n">
        <v>60</v>
      </c>
      <c r="F7" s="12" t="inlineStr">
        <is>
          <t>After go-live + writes: YES</t>
        </is>
      </c>
    </row>
  </sheetData>
  <autoFilter ref="A1:F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  <col width="22" customWidth="1" min="5" max="5"/>
  </cols>
  <sheetData>
    <row r="1" ht="30" customHeight="1">
      <c r="A1" s="11" t="inlineStr">
        <is>
          <t>Role</t>
        </is>
      </c>
      <c r="B1" s="11" t="inlineStr">
        <is>
          <t>Name</t>
        </is>
      </c>
      <c r="C1" s="11" t="inlineStr">
        <is>
          <t>Phone</t>
        </is>
      </c>
      <c r="D1" s="11" t="inlineStr">
        <is>
          <t>Email</t>
        </is>
      </c>
      <c r="E1" s="11" t="inlineStr">
        <is>
          <t>Backup</t>
        </is>
      </c>
    </row>
    <row r="2">
      <c r="A2" s="12" t="inlineStr">
        <is>
          <t>Migration lead</t>
        </is>
      </c>
      <c r="B2" s="12" t="inlineStr"/>
      <c r="C2" s="12" t="inlineStr"/>
      <c r="D2" s="12" t="inlineStr"/>
      <c r="E2" s="12" t="inlineStr"/>
    </row>
    <row r="3">
      <c r="A3" s="12" t="inlineStr">
        <is>
          <t>Rollback decision owner</t>
        </is>
      </c>
      <c r="B3" s="12" t="inlineStr"/>
      <c r="C3" s="12" t="inlineStr"/>
      <c r="D3" s="12" t="inlineStr"/>
      <c r="E3" s="12" t="inlineStr"/>
    </row>
    <row r="4">
      <c r="A4" s="12" t="inlineStr">
        <is>
          <t>DBA</t>
        </is>
      </c>
      <c r="B4" s="12" t="inlineStr"/>
      <c r="C4" s="12" t="inlineStr"/>
      <c r="D4" s="12" t="inlineStr"/>
      <c r="E4" s="12" t="inlineStr"/>
    </row>
    <row r="5">
      <c r="A5" s="12" t="inlineStr">
        <is>
          <t>Network lead</t>
        </is>
      </c>
      <c r="B5" s="12" t="inlineStr"/>
      <c r="C5" s="12" t="inlineStr"/>
      <c r="D5" s="12" t="inlineStr"/>
      <c r="E5" s="12" t="inlineStr"/>
    </row>
    <row r="6">
      <c r="A6" s="12" t="inlineStr">
        <is>
          <t>Application owner</t>
        </is>
      </c>
      <c r="B6" s="12" t="inlineStr"/>
      <c r="C6" s="12" t="inlineStr"/>
      <c r="D6" s="12" t="inlineStr"/>
      <c r="E6" s="12" t="inlineStr"/>
    </row>
    <row r="7">
      <c r="A7" s="12" t="inlineStr">
        <is>
          <t>Security lead</t>
        </is>
      </c>
      <c r="B7" s="12" t="inlineStr"/>
      <c r="C7" s="12" t="inlineStr"/>
      <c r="D7" s="12" t="inlineStr"/>
      <c r="E7" s="12" t="inlineStr"/>
    </row>
    <row r="8">
      <c r="A8" s="12" t="inlineStr">
        <is>
          <t>AWS support case</t>
        </is>
      </c>
      <c r="B8" s="12" t="inlineStr"/>
      <c r="C8" s="12" t="inlineStr"/>
      <c r="D8" s="12" t="inlineStr"/>
      <c r="E8" s="12" t="inlineStr"/>
    </row>
  </sheetData>
  <autoFilter ref="A1:E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aws-cutover-runbook.xlsx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