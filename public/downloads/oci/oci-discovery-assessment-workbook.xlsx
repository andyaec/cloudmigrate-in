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erver Inventory" sheetId="2" state="visible" r:id="rId2"/>
    <sheet xmlns:r="http://schemas.openxmlformats.org/officeDocument/2006/relationships" name="Application Portfolio" sheetId="3" state="visible" r:id="rId3"/>
    <sheet xmlns:r="http://schemas.openxmlformats.org/officeDocument/2006/relationships" name="7R Decision Matrix" sheetId="4" state="visible" r:id="rId4"/>
    <sheet xmlns:r="http://schemas.openxmlformats.org/officeDocument/2006/relationships" name="Dependencies" sheetId="5" state="visible" r:id="rId5"/>
    <sheet xmlns:r="http://schemas.openxmlformats.org/officeDocument/2006/relationships" name="TCO (3-year)" sheetId="6" state="visible" r:id="rId6"/>
    <sheet xmlns:r="http://schemas.openxmlformats.org/officeDocument/2006/relationships" name="Wave Plan" sheetId="7" state="visible" r:id="rId7"/>
  </sheets>
  <definedNames>
    <definedName name="_xlnm._FilterDatabase" localSheetId="1" hidden="1">'Server Inventory'!$A$1:$M$5</definedName>
    <definedName name="_xlnm._FilterDatabase" localSheetId="2" hidden="1">'Application Portfolio'!$A$1:$L$4</definedName>
    <definedName name="_xlnm._FilterDatabase" localSheetId="3" hidden="1">'7R Decision Matrix'!$A$1:$H$7</definedName>
    <definedName name="_xlnm._FilterDatabase" localSheetId="4" hidden="1">'Dependencies'!$A$1:$J$3</definedName>
    <definedName name="_xlnm._FilterDatabase" localSheetId="5" hidden="1">'TCO (3-year)'!$A$1:$F$24</definedName>
    <definedName name="_xlnm._FilterDatabase" localSheetId="6" hidden="1">'Wave Plan'!$A$1:$J$3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13">
    <font>
      <name val="Calibri"/>
      <family val="2"/>
      <color theme="1"/>
      <sz val="11"/>
      <scheme val="minor"/>
    </font>
    <font>
      <name val="Calibri"/>
      <b val="1"/>
      <color rgb="00C8442B"/>
      <sz val="11"/>
    </font>
    <font>
      <name val="Calibri"/>
      <b val="1"/>
      <color rgb="0015191C"/>
      <sz val="20"/>
    </font>
    <font>
      <name val="Calibri"/>
      <color rgb="00676C6E"/>
      <sz val="10"/>
    </font>
    <font>
      <name val="Calibri"/>
      <b val="1"/>
      <color rgb="0015191C"/>
      <sz val="10"/>
    </font>
    <font>
      <name val="Calibri"/>
      <color rgb="0015191C"/>
      <sz val="10"/>
    </font>
    <font>
      <name val="Calibri"/>
      <i val="1"/>
      <color rgb="00676C6E"/>
      <sz val="9"/>
    </font>
    <font>
      <name val="Calibri"/>
      <b val="1"/>
      <color rgb="00FFFFFF"/>
      <sz val="10"/>
    </font>
    <font>
      <b val="1"/>
    </font>
    <font>
      <i val="1"/>
      <sz val="9"/>
    </font>
    <font>
      <sz val="9"/>
    </font>
    <font>
      <b val="1"/>
      <color rgb="00C8442B"/>
    </font>
    <font>
      <b val="1"/>
      <color rgb="0015191C"/>
    </font>
  </fonts>
  <fills count="3">
    <fill>
      <patternFill/>
    </fill>
    <fill>
      <patternFill patternType="gray125"/>
    </fill>
    <fill>
      <patternFill patternType="solid">
        <fgColor rgb="0015191C"/>
      </patternFill>
    </fill>
  </fills>
  <borders count="3">
    <border>
      <left/>
      <right/>
      <top/>
      <bottom/>
      <diagonal/>
    </border>
    <border>
      <bottom style="thin">
        <color rgb="00D4CEBF"/>
      </bottom>
    </border>
    <border>
      <left style="thin">
        <color rgb="00D4CEBF"/>
      </left>
      <right style="thin">
        <color rgb="00D4CEBF"/>
      </right>
      <top style="thin">
        <color rgb="00D4CEBF"/>
      </top>
      <bottom style="thin">
        <color rgb="00D4CE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2" applyAlignment="1" pivotButton="0" quotePrefix="0" xfId="0">
      <alignment vertical="top" wrapText="1"/>
    </xf>
    <xf numFmtId="164" fontId="5" fillId="0" borderId="2" applyAlignment="1" pivotButton="0" quotePrefix="0" xfId="0">
      <alignment vertical="top" wrapText="1"/>
    </xf>
    <xf numFmtId="0" fontId="12" fillId="0" borderId="2" applyAlignment="1" pivotButton="0" quotePrefix="0" xfId="0">
      <alignment vertical="top" wrapText="1"/>
    </xf>
    <xf numFmtId="164" fontId="8" fillId="0" borderId="2" applyAlignment="1" pivotButton="0" quotePrefix="0" xfId="0">
      <alignment vertical="top" wrapText="1"/>
    </xf>
    <xf numFmtId="164" fontId="11" fillId="0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0ECDF"/>
        </patternFill>
      </fill>
    </dxf>
    <dxf>
      <fill>
        <patternFill patternType="solid">
          <fgColor rgb="00F3DFD9"/>
        </patternFill>
      </fill>
    </dxf>
    <dxf>
      <fill>
        <patternFill patternType="solid">
          <fgColor rgb="00F5EA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0" customWidth="1" min="3" max="3"/>
  </cols>
  <sheetData>
    <row r="2">
      <c r="B2" s="1" t="inlineStr">
        <is>
          <t>CloudMigrate.in</t>
        </is>
      </c>
    </row>
    <row r="3" ht="30" customHeight="1">
      <c r="B3" s="2" t="inlineStr">
        <is>
          <t>Discovery &amp; Assessment Workbook — OCI</t>
        </is>
      </c>
    </row>
    <row r="4">
      <c r="B4" s="3" t="inlineStr">
        <is>
          <t>Oracle Cloud Infrastructure · v1.0 · generated 21 Oct 2026</t>
        </is>
      </c>
    </row>
    <row r="6">
      <c r="B6" s="4" t="inlineStr">
        <is>
          <t>Purpose</t>
        </is>
      </c>
      <c r="C6" s="5" t="inlineStr">
        <is>
          <t>Capture inventory, decide dispositions, plan waves and build the TCO.</t>
        </is>
      </c>
    </row>
    <row r="7">
      <c r="B7" s="4" t="inlineStr">
        <is>
          <t>Customer</t>
        </is>
      </c>
      <c r="C7" s="5" t="inlineStr"/>
    </row>
    <row r="8">
      <c r="B8" s="4" t="inlineStr">
        <is>
          <t>Project / programme</t>
        </is>
      </c>
      <c r="C8" s="5" t="inlineStr"/>
    </row>
    <row r="9">
      <c r="B9" s="4" t="inlineStr">
        <is>
          <t>Prepared by</t>
        </is>
      </c>
      <c r="C9" s="5" t="inlineStr"/>
    </row>
    <row r="10">
      <c r="B10" s="4" t="inlineStr">
        <is>
          <t>Reviewed by</t>
        </is>
      </c>
      <c r="C10" s="5" t="inlineStr"/>
    </row>
    <row r="11">
      <c r="B11" s="4" t="inlineStr">
        <is>
          <t>Last updated</t>
        </is>
      </c>
      <c r="C11" s="5" t="inlineStr"/>
    </row>
    <row r="13">
      <c r="B13" s="4" t="inlineStr">
        <is>
          <t>How to use</t>
        </is>
      </c>
      <c r="C13" s="6" t="inlineStr">
        <is>
          <t>1. Populate Server Inventory from Oracle Cloud Migrations, AWR reports, Cloud Premigration Advisor Tool (CPAT) exports.</t>
        </is>
      </c>
    </row>
    <row r="14">
      <c r="C14" s="6" t="inlineStr">
        <is>
          <t>2. Complete the Application Portfolio with owners; score each app in the 7R Matrix.</t>
        </is>
      </c>
    </row>
    <row r="15">
      <c r="C15" s="6" t="inlineStr">
        <is>
          <t>3. Record dependencies to form move groups; assign waves in the Wave Plan.</t>
        </is>
      </c>
    </row>
    <row r="16">
      <c r="C16" s="6" t="inlineStr">
        <is>
          <t>4. Enter on-premises and target costs in TCO — totals and savings calculate automatically.</t>
        </is>
      </c>
    </row>
    <row r="18">
      <c r="B18" s="4" t="inlineStr">
        <is>
          <t>Reference</t>
        </is>
      </c>
      <c r="C18" s="7" t="inlineStr">
        <is>
          <t>Target regions: India West (Mumbai), India South (Hyderabad)</t>
        </is>
      </c>
    </row>
    <row r="19">
      <c r="C19" s="7" t="inlineStr">
        <is>
          <t>Landing zone: OCI Landing Zone (CIS-aligned) — compartments, policies</t>
        </is>
      </c>
    </row>
    <row r="20">
      <c r="C20" s="7" t="inlineStr">
        <is>
          <t>Security baseline: CIS Oracle Cloud Infrastructure Foundations Benchmark</t>
        </is>
      </c>
    </row>
    <row r="23">
      <c r="B23" s="8" t="inlineStr">
        <is>
          <t>Template provided as-is for planning purposes. Validate vendor programme terms and service availability before relying on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3" customWidth="1" min="3" max="3"/>
    <col width="22" customWidth="1" min="4" max="4"/>
    <col width="7" customWidth="1" min="5" max="5"/>
    <col width="9" customWidth="1" min="6" max="6"/>
    <col width="11" customWidth="1" min="7" max="7"/>
    <col width="10" customWidth="1" min="8" max="8"/>
    <col width="10" customWidth="1" min="9" max="9"/>
    <col width="18" customWidth="1" min="10" max="10"/>
    <col width="13" customWidth="1" min="11" max="11"/>
    <col width="8" customWidth="1" min="12" max="12"/>
    <col width="30" customWidth="1" min="13" max="13"/>
  </cols>
  <sheetData>
    <row r="1" ht="30" customHeight="1">
      <c r="A1" s="9" t="inlineStr">
        <is>
          <t>Server</t>
        </is>
      </c>
      <c r="B1" s="9" t="inlineStr">
        <is>
          <t>Application</t>
        </is>
      </c>
      <c r="C1" s="9" t="inlineStr">
        <is>
          <t>Environment</t>
        </is>
      </c>
      <c r="D1" s="9" t="inlineStr">
        <is>
          <t>OS / version</t>
        </is>
      </c>
      <c r="E1" s="9" t="inlineStr">
        <is>
          <t>vCPU</t>
        </is>
      </c>
      <c r="F1" s="9" t="inlineStr">
        <is>
          <t>RAM (GB)</t>
        </is>
      </c>
      <c r="G1" s="9" t="inlineStr">
        <is>
          <t>Storage (GB)</t>
        </is>
      </c>
      <c r="H1" s="9" t="inlineStr">
        <is>
          <t>CPU p95 %</t>
        </is>
      </c>
      <c r="I1" s="9" t="inlineStr">
        <is>
          <t>RAM p95 %</t>
        </is>
      </c>
      <c r="J1" s="9" t="inlineStr">
        <is>
          <t>Target size</t>
        </is>
      </c>
      <c r="K1" s="9" t="inlineStr">
        <is>
          <t>Disposition</t>
        </is>
      </c>
      <c r="L1" s="9" t="inlineStr">
        <is>
          <t>Wave</t>
        </is>
      </c>
      <c r="M1" s="9" t="inlineStr">
        <is>
          <t>Notes</t>
        </is>
      </c>
    </row>
    <row r="2">
      <c r="A2" s="10" t="inlineStr">
        <is>
          <t>APP-WEB-01</t>
        </is>
      </c>
      <c r="B2" s="10" t="inlineStr">
        <is>
          <t>Customer portal</t>
        </is>
      </c>
      <c r="C2" s="10" t="inlineStr">
        <is>
          <t>Production</t>
        </is>
      </c>
      <c r="D2" s="10" t="inlineStr">
        <is>
          <t>Windows Server 2016</t>
        </is>
      </c>
      <c r="E2" s="10" t="n">
        <v>4</v>
      </c>
      <c r="F2" s="10" t="n">
        <v>16</v>
      </c>
      <c r="G2" s="10" t="n">
        <v>200</v>
      </c>
      <c r="H2" s="10" t="n">
        <v>38</v>
      </c>
      <c r="I2" s="10" t="n">
        <v>61</v>
      </c>
      <c r="J2" s="10" t="inlineStr"/>
      <c r="K2" s="10" t="inlineStr">
        <is>
          <t>Rehost</t>
        </is>
      </c>
      <c r="L2" s="10" t="inlineStr">
        <is>
          <t>W2</t>
        </is>
      </c>
      <c r="M2" s="10" t="inlineStr">
        <is>
          <t>Behind F5</t>
        </is>
      </c>
    </row>
    <row r="3">
      <c r="A3" s="10" t="inlineStr">
        <is>
          <t>APP-DB-01</t>
        </is>
      </c>
      <c r="B3" s="10" t="inlineStr">
        <is>
          <t>Customer portal</t>
        </is>
      </c>
      <c r="C3" s="10" t="inlineStr">
        <is>
          <t>Production</t>
        </is>
      </c>
      <c r="D3" s="10" t="inlineStr">
        <is>
          <t>Linux / PostgreSQL 13</t>
        </is>
      </c>
      <c r="E3" s="10" t="n">
        <v>8</v>
      </c>
      <c r="F3" s="10" t="n">
        <v>64</v>
      </c>
      <c r="G3" s="10" t="n">
        <v>1200</v>
      </c>
      <c r="H3" s="10" t="n">
        <v>55</v>
      </c>
      <c r="I3" s="10" t="n">
        <v>72</v>
      </c>
      <c r="J3" s="10" t="inlineStr"/>
      <c r="K3" s="10" t="inlineStr">
        <is>
          <t>Replatform</t>
        </is>
      </c>
      <c r="L3" s="10" t="inlineStr">
        <is>
          <t>W2</t>
        </is>
      </c>
      <c r="M3" s="10" t="inlineStr">
        <is>
          <t>Managed PostgreSQL</t>
        </is>
      </c>
    </row>
    <row r="4">
      <c r="A4" s="10" t="inlineStr">
        <is>
          <t>FIN-ERP-01</t>
        </is>
      </c>
      <c r="B4" s="10" t="inlineStr">
        <is>
          <t>Finance ERP</t>
        </is>
      </c>
      <c r="C4" s="10" t="inlineStr">
        <is>
          <t>Production</t>
        </is>
      </c>
      <c r="D4" s="10" t="inlineStr">
        <is>
          <t>Oracle Linux 7 / Oracle 19c</t>
        </is>
      </c>
      <c r="E4" s="10" t="n">
        <v>16</v>
      </c>
      <c r="F4" s="10" t="n">
        <v>128</v>
      </c>
      <c r="G4" s="10" t="n">
        <v>4000</v>
      </c>
      <c r="H4" s="10" t="n">
        <v>47</v>
      </c>
      <c r="I4" s="10" t="n">
        <v>80</v>
      </c>
      <c r="J4" s="10" t="inlineStr"/>
      <c r="K4" s="10" t="inlineStr">
        <is>
          <t>Rehost</t>
        </is>
      </c>
      <c r="L4" s="10" t="inlineStr">
        <is>
          <t>W4</t>
        </is>
      </c>
      <c r="M4" s="10" t="inlineStr">
        <is>
          <t>Licence BYOL</t>
        </is>
      </c>
    </row>
    <row r="5">
      <c r="A5" s="10" t="inlineStr">
        <is>
          <t>HR-APP-01</t>
        </is>
      </c>
      <c r="B5" s="10" t="inlineStr">
        <is>
          <t>HRMS (legacy)</t>
        </is>
      </c>
      <c r="C5" s="10" t="inlineStr">
        <is>
          <t>Production</t>
        </is>
      </c>
      <c r="D5" s="10" t="inlineStr">
        <is>
          <t>Windows Server 2012 R2</t>
        </is>
      </c>
      <c r="E5" s="10" t="n">
        <v>2</v>
      </c>
      <c r="F5" s="10" t="n">
        <v>8</v>
      </c>
      <c r="G5" s="10" t="n">
        <v>120</v>
      </c>
      <c r="H5" s="10" t="n">
        <v>6</v>
      </c>
      <c r="I5" s="10" t="n">
        <v>25</v>
      </c>
      <c r="J5" s="10" t="inlineStr"/>
      <c r="K5" s="10" t="inlineStr">
        <is>
          <t>Repurchase</t>
        </is>
      </c>
      <c r="L5" s="10" t="inlineStr">
        <is>
          <t>—</t>
        </is>
      </c>
      <c r="M5" s="10" t="inlineStr">
        <is>
          <t>Replace with SaaS</t>
        </is>
      </c>
    </row>
  </sheetData>
  <autoFilter ref="A1:M5"/>
  <dataValidations count="1">
    <dataValidation sqref="K2:K2000" showDropDown="0" showInputMessage="0" showErrorMessage="0" allowBlank="1" type="list">
      <formula1>"Retire,Retain,Rehost,Relocate,Replatform,Repurchase,Refactor"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6" customWidth="1" min="4" max="4"/>
    <col width="9" customWidth="1" min="5" max="5"/>
    <col width="12" customWidth="1" min="6" max="6"/>
    <col width="12" customWidth="1" min="7" max="7"/>
    <col width="13" customWidth="1" min="8" max="8"/>
    <col width="30" customWidth="1" min="9" max="9"/>
    <col width="11" customWidth="1" min="10" max="10"/>
    <col width="8" customWidth="1" min="11" max="11"/>
    <col width="30" customWidth="1" min="12" max="12"/>
  </cols>
  <sheetData>
    <row r="1" ht="30" customHeight="1">
      <c r="A1" s="9" t="inlineStr">
        <is>
          <t>Application</t>
        </is>
      </c>
      <c r="B1" s="9" t="inlineStr">
        <is>
          <t>Owner</t>
        </is>
      </c>
      <c r="C1" s="9" t="inlineStr">
        <is>
          <t>Business criticality (1-5)</t>
        </is>
      </c>
      <c r="D1" s="9" t="inlineStr">
        <is>
          <t>Data classification</t>
        </is>
      </c>
      <c r="E1" s="9" t="inlineStr">
        <is>
          <t>Users</t>
        </is>
      </c>
      <c r="F1" s="9" t="inlineStr">
        <is>
          <t>Change frequency (1-5)</t>
        </is>
      </c>
      <c r="G1" s="9" t="inlineStr">
        <is>
          <t>Technical debt (1-5)</t>
        </is>
      </c>
      <c r="H1" s="9" t="inlineStr">
        <is>
          <t>Disposition</t>
        </is>
      </c>
      <c r="I1" s="9" t="inlineStr">
        <is>
          <t>Target OCI service</t>
        </is>
      </c>
      <c r="J1" s="9" t="inlineStr">
        <is>
          <t>Complexity score</t>
        </is>
      </c>
      <c r="K1" s="9" t="inlineStr">
        <is>
          <t>Wave</t>
        </is>
      </c>
      <c r="L1" s="9" t="inlineStr">
        <is>
          <t>Notes</t>
        </is>
      </c>
    </row>
    <row r="2">
      <c r="A2" s="10" t="inlineStr">
        <is>
          <t>Customer portal</t>
        </is>
      </c>
      <c r="B2" s="10" t="inlineStr">
        <is>
          <t>Head of Digital</t>
        </is>
      </c>
      <c r="C2" s="10" t="n">
        <v>5</v>
      </c>
      <c r="D2" s="10" t="inlineStr">
        <is>
          <t>Personal (DPDP)</t>
        </is>
      </c>
      <c r="E2" s="10" t="n">
        <v>120000</v>
      </c>
      <c r="F2" s="10" t="n">
        <v>4</v>
      </c>
      <c r="G2" s="10" t="n">
        <v>3</v>
      </c>
      <c r="H2" s="10" t="inlineStr">
        <is>
          <t>Replatform</t>
        </is>
      </c>
      <c r="I2" s="10" t="inlineStr"/>
      <c r="J2" s="10">
        <f>IF(A2="","",ROUND(C2*0.4+F2*0.2+G2*0.4,1))</f>
        <v/>
      </c>
      <c r="K2" s="10" t="inlineStr">
        <is>
          <t>W2</t>
        </is>
      </c>
      <c r="L2" s="10" t="inlineStr"/>
    </row>
    <row r="3">
      <c r="A3" s="10" t="inlineStr">
        <is>
          <t>Finance ERP</t>
        </is>
      </c>
      <c r="B3" s="10" t="inlineStr">
        <is>
          <t>CFO office</t>
        </is>
      </c>
      <c r="C3" s="10" t="n">
        <v>5</v>
      </c>
      <c r="D3" s="10" t="inlineStr">
        <is>
          <t>Confidential</t>
        </is>
      </c>
      <c r="E3" s="10" t="n">
        <v>300</v>
      </c>
      <c r="F3" s="10" t="n">
        <v>2</v>
      </c>
      <c r="G3" s="10" t="n">
        <v>2</v>
      </c>
      <c r="H3" s="10" t="inlineStr">
        <is>
          <t>Rehost</t>
        </is>
      </c>
      <c r="I3" s="10" t="inlineStr"/>
      <c r="J3" s="10">
        <f>IF(A3="","",ROUND(C3*0.4+F3*0.2+G3*0.4,1))</f>
        <v/>
      </c>
      <c r="K3" s="10" t="inlineStr">
        <is>
          <t>W4</t>
        </is>
      </c>
      <c r="L3" s="10" t="inlineStr">
        <is>
          <t>Month-end freeze</t>
        </is>
      </c>
    </row>
    <row r="4">
      <c r="A4" s="10" t="inlineStr">
        <is>
          <t>HRMS (legacy)</t>
        </is>
      </c>
      <c r="B4" s="10" t="inlineStr">
        <is>
          <t>CHRO office</t>
        </is>
      </c>
      <c r="C4" s="10" t="n">
        <v>3</v>
      </c>
      <c r="D4" s="10" t="inlineStr">
        <is>
          <t>Personal (DPDP)</t>
        </is>
      </c>
      <c r="E4" s="10" t="n">
        <v>2500</v>
      </c>
      <c r="F4" s="10" t="n">
        <v>1</v>
      </c>
      <c r="G4" s="10" t="n">
        <v>5</v>
      </c>
      <c r="H4" s="10" t="inlineStr">
        <is>
          <t>Repurchase</t>
        </is>
      </c>
      <c r="I4" s="10" t="inlineStr">
        <is>
          <t>SaaS</t>
        </is>
      </c>
      <c r="J4" s="10">
        <f>IF(A4="","",ROUND(C4*0.4+F4*0.2+G4*0.4,1))</f>
        <v/>
      </c>
      <c r="K4" s="10" t="inlineStr">
        <is>
          <t>—</t>
        </is>
      </c>
      <c r="L4" s="10" t="inlineStr">
        <is>
          <t>Contract ends Mar</t>
        </is>
      </c>
    </row>
    <row r="5">
      <c r="J5">
        <f>IF(A5="","",ROUND(C5*0.4+F5*0.2+G5*0.4,1))</f>
        <v/>
      </c>
    </row>
    <row r="6">
      <c r="J6">
        <f>IF(A6="","",ROUND(C6*0.4+F6*0.2+G6*0.4,1))</f>
        <v/>
      </c>
    </row>
    <row r="7">
      <c r="J7">
        <f>IF(A7="","",ROUND(C7*0.4+F7*0.2+G7*0.4,1))</f>
        <v/>
      </c>
    </row>
    <row r="8">
      <c r="J8">
        <f>IF(A8="","",ROUND(C8*0.4+F8*0.2+G8*0.4,1))</f>
        <v/>
      </c>
    </row>
    <row r="9">
      <c r="J9">
        <f>IF(A9="","",ROUND(C9*0.4+F9*0.2+G9*0.4,1))</f>
        <v/>
      </c>
    </row>
    <row r="10">
      <c r="J10">
        <f>IF(A10="","",ROUND(C10*0.4+F10*0.2+G10*0.4,1))</f>
        <v/>
      </c>
    </row>
    <row r="11">
      <c r="J11">
        <f>IF(A11="","",ROUND(C11*0.4+F11*0.2+G11*0.4,1))</f>
        <v/>
      </c>
    </row>
    <row r="12">
      <c r="J12">
        <f>IF(A12="","",ROUND(C12*0.4+F12*0.2+G12*0.4,1))</f>
        <v/>
      </c>
    </row>
    <row r="13">
      <c r="J13">
        <f>IF(A13="","",ROUND(C13*0.4+F13*0.2+G13*0.4,1))</f>
        <v/>
      </c>
    </row>
    <row r="14">
      <c r="J14">
        <f>IF(A14="","",ROUND(C14*0.4+F14*0.2+G14*0.4,1))</f>
        <v/>
      </c>
    </row>
    <row r="15">
      <c r="J15">
        <f>IF(A15="","",ROUND(C15*0.4+F15*0.2+G15*0.4,1))</f>
        <v/>
      </c>
    </row>
    <row r="16">
      <c r="J16">
        <f>IF(A16="","",ROUND(C16*0.4+F16*0.2+G16*0.4,1))</f>
        <v/>
      </c>
    </row>
    <row r="17">
      <c r="J17">
        <f>IF(A17="","",ROUND(C17*0.4+F17*0.2+G17*0.4,1))</f>
        <v/>
      </c>
    </row>
    <row r="18">
      <c r="J18">
        <f>IF(A18="","",ROUND(C18*0.4+F18*0.2+G18*0.4,1))</f>
        <v/>
      </c>
    </row>
    <row r="19">
      <c r="J19">
        <f>IF(A19="","",ROUND(C19*0.4+F19*0.2+G19*0.4,1))</f>
        <v/>
      </c>
    </row>
    <row r="20">
      <c r="J20">
        <f>IF(A20="","",ROUND(C20*0.4+F20*0.2+G20*0.4,1))</f>
        <v/>
      </c>
    </row>
    <row r="21">
      <c r="J21">
        <f>IF(A21="","",ROUND(C21*0.4+F21*0.2+G21*0.4,1))</f>
        <v/>
      </c>
    </row>
    <row r="22">
      <c r="J22">
        <f>IF(A22="","",ROUND(C22*0.4+F22*0.2+G22*0.4,1))</f>
        <v/>
      </c>
    </row>
    <row r="23">
      <c r="J23">
        <f>IF(A23="","",ROUND(C23*0.4+F23*0.2+G23*0.4,1))</f>
        <v/>
      </c>
    </row>
    <row r="24">
      <c r="J24">
        <f>IF(A24="","",ROUND(C24*0.4+F24*0.2+G24*0.4,1))</f>
        <v/>
      </c>
    </row>
    <row r="25">
      <c r="J25">
        <f>IF(A25="","",ROUND(C25*0.4+F25*0.2+G25*0.4,1))</f>
        <v/>
      </c>
    </row>
    <row r="26">
      <c r="J26">
        <f>IF(A26="","",ROUND(C26*0.4+F26*0.2+G26*0.4,1))</f>
        <v/>
      </c>
    </row>
    <row r="27">
      <c r="J27">
        <f>IF(A27="","",ROUND(C27*0.4+F27*0.2+G27*0.4,1))</f>
        <v/>
      </c>
    </row>
    <row r="28">
      <c r="J28">
        <f>IF(A28="","",ROUND(C28*0.4+F28*0.2+G28*0.4,1))</f>
        <v/>
      </c>
    </row>
    <row r="29">
      <c r="J29">
        <f>IF(A29="","",ROUND(C29*0.4+F29*0.2+G29*0.4,1))</f>
        <v/>
      </c>
    </row>
    <row r="30">
      <c r="J30">
        <f>IF(A30="","",ROUND(C30*0.4+F30*0.2+G30*0.4,1))</f>
        <v/>
      </c>
    </row>
    <row r="31">
      <c r="J31">
        <f>IF(A31="","",ROUND(C31*0.4+F31*0.2+G31*0.4,1))</f>
        <v/>
      </c>
    </row>
    <row r="32">
      <c r="J32">
        <f>IF(A32="","",ROUND(C32*0.4+F32*0.2+G32*0.4,1))</f>
        <v/>
      </c>
    </row>
    <row r="33">
      <c r="J33">
        <f>IF(A33="","",ROUND(C33*0.4+F33*0.2+G33*0.4,1))</f>
        <v/>
      </c>
    </row>
    <row r="34">
      <c r="J34">
        <f>IF(A34="","",ROUND(C34*0.4+F34*0.2+G34*0.4,1))</f>
        <v/>
      </c>
    </row>
    <row r="35">
      <c r="J35">
        <f>IF(A35="","",ROUND(C35*0.4+F35*0.2+G35*0.4,1))</f>
        <v/>
      </c>
    </row>
    <row r="36">
      <c r="J36">
        <f>IF(A36="","",ROUND(C36*0.4+F36*0.2+G36*0.4,1))</f>
        <v/>
      </c>
    </row>
    <row r="37">
      <c r="J37">
        <f>IF(A37="","",ROUND(C37*0.4+F37*0.2+G37*0.4,1))</f>
        <v/>
      </c>
    </row>
    <row r="38">
      <c r="J38">
        <f>IF(A38="","",ROUND(C38*0.4+F38*0.2+G38*0.4,1))</f>
        <v/>
      </c>
    </row>
    <row r="39">
      <c r="J39">
        <f>IF(A39="","",ROUND(C39*0.4+F39*0.2+G39*0.4,1))</f>
        <v/>
      </c>
    </row>
    <row r="40">
      <c r="J40">
        <f>IF(A40="","",ROUND(C40*0.4+F40*0.2+G40*0.4,1))</f>
        <v/>
      </c>
    </row>
    <row r="41">
      <c r="J41">
        <f>IF(A41="","",ROUND(C41*0.4+F41*0.2+G41*0.4,1))</f>
        <v/>
      </c>
    </row>
    <row r="42">
      <c r="J42">
        <f>IF(A42="","",ROUND(C42*0.4+F42*0.2+G42*0.4,1))</f>
        <v/>
      </c>
    </row>
    <row r="43">
      <c r="J43">
        <f>IF(A43="","",ROUND(C43*0.4+F43*0.2+G43*0.4,1))</f>
        <v/>
      </c>
    </row>
    <row r="44">
      <c r="J44">
        <f>IF(A44="","",ROUND(C44*0.4+F44*0.2+G44*0.4,1))</f>
        <v/>
      </c>
    </row>
    <row r="45">
      <c r="J45">
        <f>IF(A45="","",ROUND(C45*0.4+F45*0.2+G45*0.4,1))</f>
        <v/>
      </c>
    </row>
    <row r="46">
      <c r="J46">
        <f>IF(A46="","",ROUND(C46*0.4+F46*0.2+G46*0.4,1))</f>
        <v/>
      </c>
    </row>
    <row r="47">
      <c r="J47">
        <f>IF(A47="","",ROUND(C47*0.4+F47*0.2+G47*0.4,1))</f>
        <v/>
      </c>
    </row>
    <row r="48">
      <c r="J48">
        <f>IF(A48="","",ROUND(C48*0.4+F48*0.2+G48*0.4,1))</f>
        <v/>
      </c>
    </row>
    <row r="49">
      <c r="J49">
        <f>IF(A49="","",ROUND(C49*0.4+F49*0.2+G49*0.4,1))</f>
        <v/>
      </c>
    </row>
    <row r="50">
      <c r="J50">
        <f>IF(A50="","",ROUND(C50*0.4+F50*0.2+G50*0.4,1))</f>
        <v/>
      </c>
    </row>
    <row r="51">
      <c r="J51">
        <f>IF(A51="","",ROUND(C51*0.4+F51*0.2+G51*0.4,1))</f>
        <v/>
      </c>
    </row>
    <row r="52">
      <c r="J52">
        <f>IF(A52="","",ROUND(C52*0.4+F52*0.2+G52*0.4,1))</f>
        <v/>
      </c>
    </row>
    <row r="53">
      <c r="J53">
        <f>IF(A53="","",ROUND(C53*0.4+F53*0.2+G53*0.4,1))</f>
        <v/>
      </c>
    </row>
    <row r="54">
      <c r="J54">
        <f>IF(A54="","",ROUND(C54*0.4+F54*0.2+G54*0.4,1))</f>
        <v/>
      </c>
    </row>
    <row r="55">
      <c r="J55">
        <f>IF(A55="","",ROUND(C55*0.4+F55*0.2+G55*0.4,1))</f>
        <v/>
      </c>
    </row>
    <row r="56">
      <c r="J56">
        <f>IF(A56="","",ROUND(C56*0.4+F56*0.2+G56*0.4,1))</f>
        <v/>
      </c>
    </row>
    <row r="57">
      <c r="J57">
        <f>IF(A57="","",ROUND(C57*0.4+F57*0.2+G57*0.4,1))</f>
        <v/>
      </c>
    </row>
    <row r="58">
      <c r="J58">
        <f>IF(A58="","",ROUND(C58*0.4+F58*0.2+G58*0.4,1))</f>
        <v/>
      </c>
    </row>
    <row r="59">
      <c r="J59">
        <f>IF(A59="","",ROUND(C59*0.4+F59*0.2+G59*0.4,1))</f>
        <v/>
      </c>
    </row>
    <row r="60">
      <c r="J60">
        <f>IF(A60="","",ROUND(C60*0.4+F60*0.2+G60*0.4,1))</f>
        <v/>
      </c>
    </row>
    <row r="61">
      <c r="J61">
        <f>IF(A61="","",ROUND(C61*0.4+F61*0.2+G61*0.4,1))</f>
        <v/>
      </c>
    </row>
    <row r="62">
      <c r="J62">
        <f>IF(A62="","",ROUND(C62*0.4+F62*0.2+G62*0.4,1))</f>
        <v/>
      </c>
    </row>
    <row r="63">
      <c r="J63">
        <f>IF(A63="","",ROUND(C63*0.4+F63*0.2+G63*0.4,1))</f>
        <v/>
      </c>
    </row>
    <row r="64">
      <c r="J64">
        <f>IF(A64="","",ROUND(C64*0.4+F64*0.2+G64*0.4,1))</f>
        <v/>
      </c>
    </row>
    <row r="65">
      <c r="J65">
        <f>IF(A65="","",ROUND(C65*0.4+F65*0.2+G65*0.4,1))</f>
        <v/>
      </c>
    </row>
    <row r="66">
      <c r="J66">
        <f>IF(A66="","",ROUND(C66*0.4+F66*0.2+G66*0.4,1))</f>
        <v/>
      </c>
    </row>
    <row r="67">
      <c r="J67">
        <f>IF(A67="","",ROUND(C67*0.4+F67*0.2+G67*0.4,1))</f>
        <v/>
      </c>
    </row>
    <row r="68">
      <c r="J68">
        <f>IF(A68="","",ROUND(C68*0.4+F68*0.2+G68*0.4,1))</f>
        <v/>
      </c>
    </row>
    <row r="69">
      <c r="J69">
        <f>IF(A69="","",ROUND(C69*0.4+F69*0.2+G69*0.4,1))</f>
        <v/>
      </c>
    </row>
    <row r="70">
      <c r="J70">
        <f>IF(A70="","",ROUND(C70*0.4+F70*0.2+G70*0.4,1))</f>
        <v/>
      </c>
    </row>
    <row r="71">
      <c r="J71">
        <f>IF(A71="","",ROUND(C71*0.4+F71*0.2+G71*0.4,1))</f>
        <v/>
      </c>
    </row>
    <row r="72">
      <c r="J72">
        <f>IF(A72="","",ROUND(C72*0.4+F72*0.2+G72*0.4,1))</f>
        <v/>
      </c>
    </row>
    <row r="73">
      <c r="J73">
        <f>IF(A73="","",ROUND(C73*0.4+F73*0.2+G73*0.4,1))</f>
        <v/>
      </c>
    </row>
    <row r="74">
      <c r="J74">
        <f>IF(A74="","",ROUND(C74*0.4+F74*0.2+G74*0.4,1))</f>
        <v/>
      </c>
    </row>
    <row r="75">
      <c r="J75">
        <f>IF(A75="","",ROUND(C75*0.4+F75*0.2+G75*0.4,1))</f>
        <v/>
      </c>
    </row>
    <row r="76">
      <c r="J76">
        <f>IF(A76="","",ROUND(C76*0.4+F76*0.2+G76*0.4,1))</f>
        <v/>
      </c>
    </row>
    <row r="77">
      <c r="J77">
        <f>IF(A77="","",ROUND(C77*0.4+F77*0.2+G77*0.4,1))</f>
        <v/>
      </c>
    </row>
    <row r="78">
      <c r="J78">
        <f>IF(A78="","",ROUND(C78*0.4+F78*0.2+G78*0.4,1))</f>
        <v/>
      </c>
    </row>
    <row r="79">
      <c r="J79">
        <f>IF(A79="","",ROUND(C79*0.4+F79*0.2+G79*0.4,1))</f>
        <v/>
      </c>
    </row>
    <row r="80">
      <c r="J80">
        <f>IF(A80="","",ROUND(C80*0.4+F80*0.2+G80*0.4,1))</f>
        <v/>
      </c>
    </row>
    <row r="81">
      <c r="J81">
        <f>IF(A81="","",ROUND(C81*0.4+F81*0.2+G81*0.4,1))</f>
        <v/>
      </c>
    </row>
    <row r="82">
      <c r="J82">
        <f>IF(A82="","",ROUND(C82*0.4+F82*0.2+G82*0.4,1))</f>
        <v/>
      </c>
    </row>
    <row r="83">
      <c r="J83">
        <f>IF(A83="","",ROUND(C83*0.4+F83*0.2+G83*0.4,1))</f>
        <v/>
      </c>
    </row>
    <row r="84">
      <c r="J84">
        <f>IF(A84="","",ROUND(C84*0.4+F84*0.2+G84*0.4,1))</f>
        <v/>
      </c>
    </row>
    <row r="85">
      <c r="J85">
        <f>IF(A85="","",ROUND(C85*0.4+F85*0.2+G85*0.4,1))</f>
        <v/>
      </c>
    </row>
    <row r="86">
      <c r="J86">
        <f>IF(A86="","",ROUND(C86*0.4+F86*0.2+G86*0.4,1))</f>
        <v/>
      </c>
    </row>
    <row r="87">
      <c r="J87">
        <f>IF(A87="","",ROUND(C87*0.4+F87*0.2+G87*0.4,1))</f>
        <v/>
      </c>
    </row>
    <row r="88">
      <c r="J88">
        <f>IF(A88="","",ROUND(C88*0.4+F88*0.2+G88*0.4,1))</f>
        <v/>
      </c>
    </row>
    <row r="89">
      <c r="J89">
        <f>IF(A89="","",ROUND(C89*0.4+F89*0.2+G89*0.4,1))</f>
        <v/>
      </c>
    </row>
    <row r="90">
      <c r="J90">
        <f>IF(A90="","",ROUND(C90*0.4+F90*0.2+G90*0.4,1))</f>
        <v/>
      </c>
    </row>
    <row r="91">
      <c r="J91">
        <f>IF(A91="","",ROUND(C91*0.4+F91*0.2+G91*0.4,1))</f>
        <v/>
      </c>
    </row>
    <row r="92">
      <c r="J92">
        <f>IF(A92="","",ROUND(C92*0.4+F92*0.2+G92*0.4,1))</f>
        <v/>
      </c>
    </row>
    <row r="93">
      <c r="J93">
        <f>IF(A93="","",ROUND(C93*0.4+F93*0.2+G93*0.4,1))</f>
        <v/>
      </c>
    </row>
    <row r="94">
      <c r="J94">
        <f>IF(A94="","",ROUND(C94*0.4+F94*0.2+G94*0.4,1))</f>
        <v/>
      </c>
    </row>
    <row r="95">
      <c r="J95">
        <f>IF(A95="","",ROUND(C95*0.4+F95*0.2+G95*0.4,1))</f>
        <v/>
      </c>
    </row>
    <row r="96">
      <c r="J96">
        <f>IF(A96="","",ROUND(C96*0.4+F96*0.2+G96*0.4,1))</f>
        <v/>
      </c>
    </row>
    <row r="97">
      <c r="J97">
        <f>IF(A97="","",ROUND(C97*0.4+F97*0.2+G97*0.4,1))</f>
        <v/>
      </c>
    </row>
    <row r="98">
      <c r="J98">
        <f>IF(A98="","",ROUND(C98*0.4+F98*0.2+G98*0.4,1))</f>
        <v/>
      </c>
    </row>
    <row r="99">
      <c r="J99">
        <f>IF(A99="","",ROUND(C99*0.4+F99*0.2+G99*0.4,1))</f>
        <v/>
      </c>
    </row>
    <row r="100">
      <c r="J100">
        <f>IF(A100="","",ROUND(C100*0.4+F100*0.2+G100*0.4,1))</f>
        <v/>
      </c>
    </row>
    <row r="101">
      <c r="J101">
        <f>IF(A101="","",ROUND(C101*0.4+F101*0.2+G101*0.4,1))</f>
        <v/>
      </c>
    </row>
    <row r="102">
      <c r="J102">
        <f>IF(A102="","",ROUND(C102*0.4+F102*0.2+G102*0.4,1))</f>
        <v/>
      </c>
    </row>
    <row r="103">
      <c r="J103">
        <f>IF(A103="","",ROUND(C103*0.4+F103*0.2+G103*0.4,1))</f>
        <v/>
      </c>
    </row>
    <row r="104">
      <c r="J104">
        <f>IF(A104="","",ROUND(C104*0.4+F104*0.2+G104*0.4,1))</f>
        <v/>
      </c>
    </row>
    <row r="105">
      <c r="J105">
        <f>IF(A105="","",ROUND(C105*0.4+F105*0.2+G105*0.4,1))</f>
        <v/>
      </c>
    </row>
    <row r="106">
      <c r="J106">
        <f>IF(A106="","",ROUND(C106*0.4+F106*0.2+G106*0.4,1))</f>
        <v/>
      </c>
    </row>
    <row r="107">
      <c r="J107">
        <f>IF(A107="","",ROUND(C107*0.4+F107*0.2+G107*0.4,1))</f>
        <v/>
      </c>
    </row>
    <row r="108">
      <c r="J108">
        <f>IF(A108="","",ROUND(C108*0.4+F108*0.2+G108*0.4,1))</f>
        <v/>
      </c>
    </row>
    <row r="109">
      <c r="J109">
        <f>IF(A109="","",ROUND(C109*0.4+F109*0.2+G109*0.4,1))</f>
        <v/>
      </c>
    </row>
    <row r="110">
      <c r="J110">
        <f>IF(A110="","",ROUND(C110*0.4+F110*0.2+G110*0.4,1))</f>
        <v/>
      </c>
    </row>
    <row r="111">
      <c r="J111">
        <f>IF(A111="","",ROUND(C111*0.4+F111*0.2+G111*0.4,1))</f>
        <v/>
      </c>
    </row>
    <row r="112">
      <c r="J112">
        <f>IF(A112="","",ROUND(C112*0.4+F112*0.2+G112*0.4,1))</f>
        <v/>
      </c>
    </row>
    <row r="113">
      <c r="J113">
        <f>IF(A113="","",ROUND(C113*0.4+F113*0.2+G113*0.4,1))</f>
        <v/>
      </c>
    </row>
    <row r="114">
      <c r="J114">
        <f>IF(A114="","",ROUND(C114*0.4+F114*0.2+G114*0.4,1))</f>
        <v/>
      </c>
    </row>
    <row r="115">
      <c r="J115">
        <f>IF(A115="","",ROUND(C115*0.4+F115*0.2+G115*0.4,1))</f>
        <v/>
      </c>
    </row>
    <row r="116">
      <c r="J116">
        <f>IF(A116="","",ROUND(C116*0.4+F116*0.2+G116*0.4,1))</f>
        <v/>
      </c>
    </row>
    <row r="117">
      <c r="J117">
        <f>IF(A117="","",ROUND(C117*0.4+F117*0.2+G117*0.4,1))</f>
        <v/>
      </c>
    </row>
    <row r="118">
      <c r="J118">
        <f>IF(A118="","",ROUND(C118*0.4+F118*0.2+G118*0.4,1))</f>
        <v/>
      </c>
    </row>
    <row r="119">
      <c r="J119">
        <f>IF(A119="","",ROUND(C119*0.4+F119*0.2+G119*0.4,1))</f>
        <v/>
      </c>
    </row>
    <row r="120">
      <c r="J120">
        <f>IF(A120="","",ROUND(C120*0.4+F120*0.2+G120*0.4,1))</f>
        <v/>
      </c>
    </row>
    <row r="121">
      <c r="J121">
        <f>IF(A121="","",ROUND(C121*0.4+F121*0.2+G121*0.4,1))</f>
        <v/>
      </c>
    </row>
    <row r="122">
      <c r="J122">
        <f>IF(A122="","",ROUND(C122*0.4+F122*0.2+G122*0.4,1))</f>
        <v/>
      </c>
    </row>
    <row r="123">
      <c r="J123">
        <f>IF(A123="","",ROUND(C123*0.4+F123*0.2+G123*0.4,1))</f>
        <v/>
      </c>
    </row>
    <row r="124">
      <c r="J124">
        <f>IF(A124="","",ROUND(C124*0.4+F124*0.2+G124*0.4,1))</f>
        <v/>
      </c>
    </row>
    <row r="125">
      <c r="J125">
        <f>IF(A125="","",ROUND(C125*0.4+F125*0.2+G125*0.4,1))</f>
        <v/>
      </c>
    </row>
    <row r="126">
      <c r="J126">
        <f>IF(A126="","",ROUND(C126*0.4+F126*0.2+G126*0.4,1))</f>
        <v/>
      </c>
    </row>
    <row r="127">
      <c r="J127">
        <f>IF(A127="","",ROUND(C127*0.4+F127*0.2+G127*0.4,1))</f>
        <v/>
      </c>
    </row>
    <row r="128">
      <c r="J128">
        <f>IF(A128="","",ROUND(C128*0.4+F128*0.2+G128*0.4,1))</f>
        <v/>
      </c>
    </row>
    <row r="129">
      <c r="J129">
        <f>IF(A129="","",ROUND(C129*0.4+F129*0.2+G129*0.4,1))</f>
        <v/>
      </c>
    </row>
    <row r="130">
      <c r="J130">
        <f>IF(A130="","",ROUND(C130*0.4+F130*0.2+G130*0.4,1))</f>
        <v/>
      </c>
    </row>
    <row r="131">
      <c r="J131">
        <f>IF(A131="","",ROUND(C131*0.4+F131*0.2+G131*0.4,1))</f>
        <v/>
      </c>
    </row>
    <row r="132">
      <c r="J132">
        <f>IF(A132="","",ROUND(C132*0.4+F132*0.2+G132*0.4,1))</f>
        <v/>
      </c>
    </row>
    <row r="133">
      <c r="J133">
        <f>IF(A133="","",ROUND(C133*0.4+F133*0.2+G133*0.4,1))</f>
        <v/>
      </c>
    </row>
    <row r="134">
      <c r="J134">
        <f>IF(A134="","",ROUND(C134*0.4+F134*0.2+G134*0.4,1))</f>
        <v/>
      </c>
    </row>
    <row r="135">
      <c r="J135">
        <f>IF(A135="","",ROUND(C135*0.4+F135*0.2+G135*0.4,1))</f>
        <v/>
      </c>
    </row>
    <row r="136">
      <c r="J136">
        <f>IF(A136="","",ROUND(C136*0.4+F136*0.2+G136*0.4,1))</f>
        <v/>
      </c>
    </row>
    <row r="137">
      <c r="J137">
        <f>IF(A137="","",ROUND(C137*0.4+F137*0.2+G137*0.4,1))</f>
        <v/>
      </c>
    </row>
    <row r="138">
      <c r="J138">
        <f>IF(A138="","",ROUND(C138*0.4+F138*0.2+G138*0.4,1))</f>
        <v/>
      </c>
    </row>
    <row r="139">
      <c r="J139">
        <f>IF(A139="","",ROUND(C139*0.4+F139*0.2+G139*0.4,1))</f>
        <v/>
      </c>
    </row>
    <row r="140">
      <c r="J140">
        <f>IF(A140="","",ROUND(C140*0.4+F140*0.2+G140*0.4,1))</f>
        <v/>
      </c>
    </row>
    <row r="141">
      <c r="J141">
        <f>IF(A141="","",ROUND(C141*0.4+F141*0.2+G141*0.4,1))</f>
        <v/>
      </c>
    </row>
    <row r="142">
      <c r="J142">
        <f>IF(A142="","",ROUND(C142*0.4+F142*0.2+G142*0.4,1))</f>
        <v/>
      </c>
    </row>
    <row r="143">
      <c r="J143">
        <f>IF(A143="","",ROUND(C143*0.4+F143*0.2+G143*0.4,1))</f>
        <v/>
      </c>
    </row>
    <row r="144">
      <c r="J144">
        <f>IF(A144="","",ROUND(C144*0.4+F144*0.2+G144*0.4,1))</f>
        <v/>
      </c>
    </row>
    <row r="145">
      <c r="J145">
        <f>IF(A145="","",ROUND(C145*0.4+F145*0.2+G145*0.4,1))</f>
        <v/>
      </c>
    </row>
    <row r="146">
      <c r="J146">
        <f>IF(A146="","",ROUND(C146*0.4+F146*0.2+G146*0.4,1))</f>
        <v/>
      </c>
    </row>
    <row r="147">
      <c r="J147">
        <f>IF(A147="","",ROUND(C147*0.4+F147*0.2+G147*0.4,1))</f>
        <v/>
      </c>
    </row>
    <row r="148">
      <c r="J148">
        <f>IF(A148="","",ROUND(C148*0.4+F148*0.2+G148*0.4,1))</f>
        <v/>
      </c>
    </row>
    <row r="149">
      <c r="J149">
        <f>IF(A149="","",ROUND(C149*0.4+F149*0.2+G149*0.4,1))</f>
        <v/>
      </c>
    </row>
    <row r="150">
      <c r="J150">
        <f>IF(A150="","",ROUND(C150*0.4+F150*0.2+G150*0.4,1))</f>
        <v/>
      </c>
    </row>
    <row r="151">
      <c r="J151">
        <f>IF(A151="","",ROUND(C151*0.4+F151*0.2+G151*0.4,1))</f>
        <v/>
      </c>
    </row>
    <row r="152">
      <c r="J152">
        <f>IF(A152="","",ROUND(C152*0.4+F152*0.2+G152*0.4,1))</f>
        <v/>
      </c>
    </row>
    <row r="153">
      <c r="J153">
        <f>IF(A153="","",ROUND(C153*0.4+F153*0.2+G153*0.4,1))</f>
        <v/>
      </c>
    </row>
    <row r="154">
      <c r="J154">
        <f>IF(A154="","",ROUND(C154*0.4+F154*0.2+G154*0.4,1))</f>
        <v/>
      </c>
    </row>
    <row r="155">
      <c r="J155">
        <f>IF(A155="","",ROUND(C155*0.4+F155*0.2+G155*0.4,1))</f>
        <v/>
      </c>
    </row>
    <row r="156">
      <c r="J156">
        <f>IF(A156="","",ROUND(C156*0.4+F156*0.2+G156*0.4,1))</f>
        <v/>
      </c>
    </row>
    <row r="157">
      <c r="J157">
        <f>IF(A157="","",ROUND(C157*0.4+F157*0.2+G157*0.4,1))</f>
        <v/>
      </c>
    </row>
    <row r="158">
      <c r="J158">
        <f>IF(A158="","",ROUND(C158*0.4+F158*0.2+G158*0.4,1))</f>
        <v/>
      </c>
    </row>
    <row r="159">
      <c r="J159">
        <f>IF(A159="","",ROUND(C159*0.4+F159*0.2+G159*0.4,1))</f>
        <v/>
      </c>
    </row>
    <row r="160">
      <c r="J160">
        <f>IF(A160="","",ROUND(C160*0.4+F160*0.2+G160*0.4,1))</f>
        <v/>
      </c>
    </row>
    <row r="161">
      <c r="J161">
        <f>IF(A161="","",ROUND(C161*0.4+F161*0.2+G161*0.4,1))</f>
        <v/>
      </c>
    </row>
    <row r="162">
      <c r="J162">
        <f>IF(A162="","",ROUND(C162*0.4+F162*0.2+G162*0.4,1))</f>
        <v/>
      </c>
    </row>
    <row r="163">
      <c r="J163">
        <f>IF(A163="","",ROUND(C163*0.4+F163*0.2+G163*0.4,1))</f>
        <v/>
      </c>
    </row>
    <row r="164">
      <c r="J164">
        <f>IF(A164="","",ROUND(C164*0.4+F164*0.2+G164*0.4,1))</f>
        <v/>
      </c>
    </row>
    <row r="165">
      <c r="J165">
        <f>IF(A165="","",ROUND(C165*0.4+F165*0.2+G165*0.4,1))</f>
        <v/>
      </c>
    </row>
    <row r="166">
      <c r="J166">
        <f>IF(A166="","",ROUND(C166*0.4+F166*0.2+G166*0.4,1))</f>
        <v/>
      </c>
    </row>
    <row r="167">
      <c r="J167">
        <f>IF(A167="","",ROUND(C167*0.4+F167*0.2+G167*0.4,1))</f>
        <v/>
      </c>
    </row>
    <row r="168">
      <c r="J168">
        <f>IF(A168="","",ROUND(C168*0.4+F168*0.2+G168*0.4,1))</f>
        <v/>
      </c>
    </row>
    <row r="169">
      <c r="J169">
        <f>IF(A169="","",ROUND(C169*0.4+F169*0.2+G169*0.4,1))</f>
        <v/>
      </c>
    </row>
    <row r="170">
      <c r="J170">
        <f>IF(A170="","",ROUND(C170*0.4+F170*0.2+G170*0.4,1))</f>
        <v/>
      </c>
    </row>
    <row r="171">
      <c r="J171">
        <f>IF(A171="","",ROUND(C171*0.4+F171*0.2+G171*0.4,1))</f>
        <v/>
      </c>
    </row>
    <row r="172">
      <c r="J172">
        <f>IF(A172="","",ROUND(C172*0.4+F172*0.2+G172*0.4,1))</f>
        <v/>
      </c>
    </row>
    <row r="173">
      <c r="J173">
        <f>IF(A173="","",ROUND(C173*0.4+F173*0.2+G173*0.4,1))</f>
        <v/>
      </c>
    </row>
    <row r="174">
      <c r="J174">
        <f>IF(A174="","",ROUND(C174*0.4+F174*0.2+G174*0.4,1))</f>
        <v/>
      </c>
    </row>
    <row r="175">
      <c r="J175">
        <f>IF(A175="","",ROUND(C175*0.4+F175*0.2+G175*0.4,1))</f>
        <v/>
      </c>
    </row>
    <row r="176">
      <c r="J176">
        <f>IF(A176="","",ROUND(C176*0.4+F176*0.2+G176*0.4,1))</f>
        <v/>
      </c>
    </row>
    <row r="177">
      <c r="J177">
        <f>IF(A177="","",ROUND(C177*0.4+F177*0.2+G177*0.4,1))</f>
        <v/>
      </c>
    </row>
    <row r="178">
      <c r="J178">
        <f>IF(A178="","",ROUND(C178*0.4+F178*0.2+G178*0.4,1))</f>
        <v/>
      </c>
    </row>
    <row r="179">
      <c r="J179">
        <f>IF(A179="","",ROUND(C179*0.4+F179*0.2+G179*0.4,1))</f>
        <v/>
      </c>
    </row>
    <row r="180">
      <c r="J180">
        <f>IF(A180="","",ROUND(C180*0.4+F180*0.2+G180*0.4,1))</f>
        <v/>
      </c>
    </row>
    <row r="181">
      <c r="J181">
        <f>IF(A181="","",ROUND(C181*0.4+F181*0.2+G181*0.4,1))</f>
        <v/>
      </c>
    </row>
    <row r="182">
      <c r="J182">
        <f>IF(A182="","",ROUND(C182*0.4+F182*0.2+G182*0.4,1))</f>
        <v/>
      </c>
    </row>
    <row r="183">
      <c r="J183">
        <f>IF(A183="","",ROUND(C183*0.4+F183*0.2+G183*0.4,1))</f>
        <v/>
      </c>
    </row>
    <row r="184">
      <c r="J184">
        <f>IF(A184="","",ROUND(C184*0.4+F184*0.2+G184*0.4,1))</f>
        <v/>
      </c>
    </row>
    <row r="185">
      <c r="J185">
        <f>IF(A185="","",ROUND(C185*0.4+F185*0.2+G185*0.4,1))</f>
        <v/>
      </c>
    </row>
    <row r="186">
      <c r="J186">
        <f>IF(A186="","",ROUND(C186*0.4+F186*0.2+G186*0.4,1))</f>
        <v/>
      </c>
    </row>
    <row r="187">
      <c r="J187">
        <f>IF(A187="","",ROUND(C187*0.4+F187*0.2+G187*0.4,1))</f>
        <v/>
      </c>
    </row>
    <row r="188">
      <c r="J188">
        <f>IF(A188="","",ROUND(C188*0.4+F188*0.2+G188*0.4,1))</f>
        <v/>
      </c>
    </row>
    <row r="189">
      <c r="J189">
        <f>IF(A189="","",ROUND(C189*0.4+F189*0.2+G189*0.4,1))</f>
        <v/>
      </c>
    </row>
    <row r="190">
      <c r="J190">
        <f>IF(A190="","",ROUND(C190*0.4+F190*0.2+G190*0.4,1))</f>
        <v/>
      </c>
    </row>
    <row r="191">
      <c r="J191">
        <f>IF(A191="","",ROUND(C191*0.4+F191*0.2+G191*0.4,1))</f>
        <v/>
      </c>
    </row>
    <row r="192">
      <c r="J192">
        <f>IF(A192="","",ROUND(C192*0.4+F192*0.2+G192*0.4,1))</f>
        <v/>
      </c>
    </row>
    <row r="193">
      <c r="J193">
        <f>IF(A193="","",ROUND(C193*0.4+F193*0.2+G193*0.4,1))</f>
        <v/>
      </c>
    </row>
    <row r="194">
      <c r="J194">
        <f>IF(A194="","",ROUND(C194*0.4+F194*0.2+G194*0.4,1))</f>
        <v/>
      </c>
    </row>
    <row r="195">
      <c r="J195">
        <f>IF(A195="","",ROUND(C195*0.4+F195*0.2+G195*0.4,1))</f>
        <v/>
      </c>
    </row>
    <row r="196">
      <c r="J196">
        <f>IF(A196="","",ROUND(C196*0.4+F196*0.2+G196*0.4,1))</f>
        <v/>
      </c>
    </row>
    <row r="197">
      <c r="J197">
        <f>IF(A197="","",ROUND(C197*0.4+F197*0.2+G197*0.4,1))</f>
        <v/>
      </c>
    </row>
    <row r="198">
      <c r="J198">
        <f>IF(A198="","",ROUND(C198*0.4+F198*0.2+G198*0.4,1))</f>
        <v/>
      </c>
    </row>
    <row r="199">
      <c r="J199">
        <f>IF(A199="","",ROUND(C199*0.4+F199*0.2+G199*0.4,1))</f>
        <v/>
      </c>
    </row>
    <row r="200">
      <c r="J200">
        <f>IF(A200="","",ROUND(C200*0.4+F200*0.2+G200*0.4,1))</f>
        <v/>
      </c>
    </row>
    <row r="201">
      <c r="J201">
        <f>IF(A201="","",ROUND(C201*0.4+F201*0.2+G201*0.4,1))</f>
        <v/>
      </c>
    </row>
  </sheetData>
  <autoFilter ref="A1:L4"/>
  <dataValidations count="1">
    <dataValidation sqref="H2:H2000" showDropDown="0" showInputMessage="0" showErrorMessage="0" allowBlank="1" type="list">
      <formula1>"Retire,Retain,Rehost,Relocate,Replatform,Repurchase,Refactor"</formula1>
    </dataValidation>
  </dataValidation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9" customWidth="1" min="3" max="3"/>
    <col width="9" customWidth="1" min="4" max="4"/>
    <col width="10" customWidth="1" min="5" max="5"/>
    <col width="9" customWidth="1" min="6" max="6"/>
    <col width="10" customWidth="1" min="7" max="7"/>
    <col width="12" customWidth="1" min="8" max="8"/>
  </cols>
  <sheetData>
    <row r="1" ht="30" customHeight="1">
      <c r="A1" s="9" t="inlineStr">
        <is>
          <t>Criterion</t>
        </is>
      </c>
      <c r="B1" s="9" t="inlineStr">
        <is>
          <t>Weight</t>
        </is>
      </c>
      <c r="C1" s="9" t="inlineStr">
        <is>
          <t>Rehost</t>
        </is>
      </c>
      <c r="D1" s="9" t="inlineStr">
        <is>
          <t>Relocate</t>
        </is>
      </c>
      <c r="E1" s="9" t="inlineStr">
        <is>
          <t>Replatform</t>
        </is>
      </c>
      <c r="F1" s="9" t="inlineStr">
        <is>
          <t>Refactor</t>
        </is>
      </c>
      <c r="G1" s="9" t="inlineStr">
        <is>
          <t>Repurchase</t>
        </is>
      </c>
      <c r="H1" s="9" t="inlineStr">
        <is>
          <t>Retire / Retain</t>
        </is>
      </c>
    </row>
    <row r="2">
      <c r="A2" s="10" t="inlineStr">
        <is>
          <t>Speed to exit data centre</t>
        </is>
      </c>
      <c r="B2" s="10" t="n">
        <v>0.25</v>
      </c>
      <c r="C2" s="10" t="n">
        <v>5</v>
      </c>
      <c r="D2" s="10" t="n">
        <v>5</v>
      </c>
      <c r="E2" s="10" t="n">
        <v>3</v>
      </c>
      <c r="F2" s="10" t="n">
        <v>1</v>
      </c>
      <c r="G2" s="10" t="n">
        <v>3</v>
      </c>
      <c r="H2" s="10" t="n">
        <v>5</v>
      </c>
    </row>
    <row r="3">
      <c r="A3" s="10" t="inlineStr">
        <is>
          <t>Run-cost reduction</t>
        </is>
      </c>
      <c r="B3" s="10" t="n">
        <v>0.2</v>
      </c>
      <c r="C3" s="10" t="n">
        <v>2</v>
      </c>
      <c r="D3" s="10" t="n">
        <v>2</v>
      </c>
      <c r="E3" s="10" t="n">
        <v>4</v>
      </c>
      <c r="F3" s="10" t="n">
        <v>5</v>
      </c>
      <c r="G3" s="10" t="n">
        <v>4</v>
      </c>
      <c r="H3" s="10" t="n">
        <v>3</v>
      </c>
    </row>
    <row r="4">
      <c r="A4" s="10" t="inlineStr">
        <is>
          <t>Risk / complexity (5 = low risk)</t>
        </is>
      </c>
      <c r="B4" s="10" t="n">
        <v>0.2</v>
      </c>
      <c r="C4" s="10" t="n">
        <v>5</v>
      </c>
      <c r="D4" s="10" t="n">
        <v>4</v>
      </c>
      <c r="E4" s="10" t="n">
        <v>3</v>
      </c>
      <c r="F4" s="10" t="n">
        <v>2</v>
      </c>
      <c r="G4" s="10" t="n">
        <v>3</v>
      </c>
      <c r="H4" s="10" t="n">
        <v>5</v>
      </c>
    </row>
    <row r="5">
      <c r="A5" s="10" t="inlineStr">
        <is>
          <t>Business agility gained</t>
        </is>
      </c>
      <c r="B5" s="10" t="n">
        <v>0.15</v>
      </c>
      <c r="C5" s="10" t="n">
        <v>1</v>
      </c>
      <c r="D5" s="10" t="n">
        <v>1</v>
      </c>
      <c r="E5" s="10" t="n">
        <v>3</v>
      </c>
      <c r="F5" s="10" t="n">
        <v>5</v>
      </c>
      <c r="G5" s="10" t="n">
        <v>4</v>
      </c>
      <c r="H5" s="10" t="n">
        <v>1</v>
      </c>
    </row>
    <row r="6">
      <c r="A6" s="10" t="inlineStr">
        <is>
          <t>Skills available</t>
        </is>
      </c>
      <c r="B6" s="10" t="n">
        <v>0.1</v>
      </c>
      <c r="C6" s="10" t="n">
        <v>5</v>
      </c>
      <c r="D6" s="10" t="n">
        <v>4</v>
      </c>
      <c r="E6" s="10" t="n">
        <v>3</v>
      </c>
      <c r="F6" s="10" t="n">
        <v>2</v>
      </c>
      <c r="G6" s="10" t="n">
        <v>4</v>
      </c>
      <c r="H6" s="10" t="n">
        <v>5</v>
      </c>
    </row>
    <row r="7">
      <c r="A7" s="10" t="inlineStr">
        <is>
          <t>Licence impact</t>
        </is>
      </c>
      <c r="B7" s="10" t="n">
        <v>0.1</v>
      </c>
      <c r="C7" s="10" t="n">
        <v>3</v>
      </c>
      <c r="D7" s="10" t="n">
        <v>3</v>
      </c>
      <c r="E7" s="10" t="n">
        <v>4</v>
      </c>
      <c r="F7" s="10" t="n">
        <v>4</v>
      </c>
      <c r="G7" s="10" t="n">
        <v>3</v>
      </c>
      <c r="H7" s="10" t="n">
        <v>5</v>
      </c>
    </row>
    <row r="8">
      <c r="A8" s="11" t="inlineStr">
        <is>
          <t>Weighted score</t>
        </is>
      </c>
      <c r="C8" s="11">
        <f>SUMPRODUCT($B$2:$B$7,C2:C7)</f>
        <v/>
      </c>
      <c r="D8" s="11">
        <f>SUMPRODUCT($B$2:$B$7,D2:D7)</f>
        <v/>
      </c>
      <c r="E8" s="11">
        <f>SUMPRODUCT($B$2:$B$7,E2:E7)</f>
        <v/>
      </c>
      <c r="F8" s="11">
        <f>SUMPRODUCT($B$2:$B$7,F2:F7)</f>
        <v/>
      </c>
      <c r="G8" s="11">
        <f>SUMPRODUCT($B$2:$B$7,G2:G7)</f>
        <v/>
      </c>
      <c r="H8" s="11">
        <f>SUMPRODUCT($B$2:$B$7,H2:H7)</f>
        <v/>
      </c>
    </row>
    <row r="10">
      <c r="A10" s="12" t="inlineStr">
        <is>
          <t>Adjust weights per application class; weights should total 1.0.</t>
        </is>
      </c>
    </row>
    <row r="11">
      <c r="A11" s="13" t="inlineStr">
        <is>
          <t>Weight total</t>
        </is>
      </c>
      <c r="B11">
        <f>SUM(B2:B7)</f>
        <v/>
      </c>
    </row>
  </sheetData>
  <autoFilter ref="A1:H7"/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4" customWidth="1" min="3" max="3"/>
    <col width="16" customWidth="1" min="4" max="4"/>
    <col width="8" customWidth="1" min="5" max="5"/>
    <col width="10" customWidth="1" min="6" max="6"/>
    <col width="11" customWidth="1" min="7" max="7"/>
    <col width="11" customWidth="1" min="8" max="8"/>
    <col width="12" customWidth="1" min="9" max="9"/>
    <col width="14" customWidth="1" min="10" max="10"/>
  </cols>
  <sheetData>
    <row r="1" ht="30" customHeight="1">
      <c r="A1" s="9" t="inlineStr">
        <is>
          <t>Source application</t>
        </is>
      </c>
      <c r="B1" s="9" t="inlineStr">
        <is>
          <t>Source server</t>
        </is>
      </c>
      <c r="C1" s="9" t="inlineStr">
        <is>
          <t>Target application</t>
        </is>
      </c>
      <c r="D1" s="9" t="inlineStr">
        <is>
          <t>Target server</t>
        </is>
      </c>
      <c r="E1" s="9" t="inlineStr">
        <is>
          <t>Port</t>
        </is>
      </c>
      <c r="F1" s="9" t="inlineStr">
        <is>
          <t>Protocol</t>
        </is>
      </c>
      <c r="G1" s="9" t="inlineStr">
        <is>
          <t>Direction</t>
        </is>
      </c>
      <c r="H1" s="9" t="inlineStr">
        <is>
          <t>Criticality</t>
        </is>
      </c>
      <c r="I1" s="9" t="inlineStr">
        <is>
          <t>Move group</t>
        </is>
      </c>
      <c r="J1" s="9" t="inlineStr">
        <is>
          <t>Validated by owner?</t>
        </is>
      </c>
    </row>
    <row r="2">
      <c r="A2" s="10" t="inlineStr">
        <is>
          <t>Customer portal</t>
        </is>
      </c>
      <c r="B2" s="10" t="inlineStr">
        <is>
          <t>APP-WEB-01</t>
        </is>
      </c>
      <c r="C2" s="10" t="inlineStr">
        <is>
          <t>Customer portal</t>
        </is>
      </c>
      <c r="D2" s="10" t="inlineStr">
        <is>
          <t>APP-DB-01</t>
        </is>
      </c>
      <c r="E2" s="10" t="n">
        <v>5432</v>
      </c>
      <c r="F2" s="10" t="inlineStr">
        <is>
          <t>TCP</t>
        </is>
      </c>
      <c r="G2" s="10" t="inlineStr">
        <is>
          <t>Outbound</t>
        </is>
      </c>
      <c r="H2" s="10" t="inlineStr">
        <is>
          <t>High</t>
        </is>
      </c>
      <c r="I2" s="10" t="inlineStr">
        <is>
          <t>MG-01</t>
        </is>
      </c>
      <c r="J2" s="10" t="inlineStr">
        <is>
          <t>Yes</t>
        </is>
      </c>
    </row>
    <row r="3">
      <c r="A3" s="10" t="inlineStr">
        <is>
          <t>Finance ERP</t>
        </is>
      </c>
      <c r="B3" s="10" t="inlineStr">
        <is>
          <t>FIN-ERP-01</t>
        </is>
      </c>
      <c r="C3" s="10" t="inlineStr">
        <is>
          <t>Active Directory</t>
        </is>
      </c>
      <c r="D3" s="10" t="inlineStr">
        <is>
          <t>DC-01</t>
        </is>
      </c>
      <c r="E3" s="10" t="n">
        <v>389</v>
      </c>
      <c r="F3" s="10" t="inlineStr">
        <is>
          <t>TCP</t>
        </is>
      </c>
      <c r="G3" s="10" t="inlineStr">
        <is>
          <t>Outbound</t>
        </is>
      </c>
      <c r="H3" s="10" t="inlineStr">
        <is>
          <t>High</t>
        </is>
      </c>
      <c r="I3" s="10" t="inlineStr">
        <is>
          <t>Shared</t>
        </is>
      </c>
      <c r="J3" s="10" t="inlineStr">
        <is>
          <t>Yes</t>
        </is>
      </c>
    </row>
  </sheetData>
  <autoFilter ref="A1:J3"/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40" customWidth="1" min="6" max="6"/>
  </cols>
  <sheetData>
    <row r="1" ht="30" customHeight="1">
      <c r="A1" s="9" t="inlineStr">
        <is>
          <t>Cost line (INR)</t>
        </is>
      </c>
      <c r="B1" s="9" t="inlineStr">
        <is>
          <t>Year 1</t>
        </is>
      </c>
      <c r="C1" s="9" t="inlineStr">
        <is>
          <t>Year 2</t>
        </is>
      </c>
      <c r="D1" s="9" t="inlineStr">
        <is>
          <t>Year 3</t>
        </is>
      </c>
      <c r="E1" s="9" t="inlineStr">
        <is>
          <t>Total</t>
        </is>
      </c>
      <c r="F1" s="9" t="inlineStr">
        <is>
          <t>Notes</t>
        </is>
      </c>
    </row>
    <row r="2">
      <c r="A2" s="14" t="inlineStr">
        <is>
          <t>ON-PREMISES</t>
        </is>
      </c>
      <c r="B2" s="10" t="n"/>
      <c r="C2" s="10" t="n"/>
      <c r="D2" s="10" t="n"/>
      <c r="E2" s="10" t="n"/>
      <c r="F2" s="10" t="inlineStr"/>
    </row>
    <row r="3">
      <c r="A3" s="10" t="inlineStr">
        <is>
          <t>Hardware refresh / depreciation</t>
        </is>
      </c>
      <c r="B3" s="15" t="n">
        <v>0</v>
      </c>
      <c r="C3" s="15" t="n">
        <v>0</v>
      </c>
      <c r="D3" s="15" t="n">
        <v>0</v>
      </c>
      <c r="E3" s="15">
        <f>SUM(B3:D3)</f>
        <v/>
      </c>
      <c r="F3" s="10" t="inlineStr"/>
    </row>
    <row r="4">
      <c r="A4" s="10" t="inlineStr">
        <is>
          <t>Data-centre space, power, cooling</t>
        </is>
      </c>
      <c r="B4" s="15" t="n">
        <v>0</v>
      </c>
      <c r="C4" s="15" t="n">
        <v>0</v>
      </c>
      <c r="D4" s="15" t="n">
        <v>0</v>
      </c>
      <c r="E4" s="15">
        <f>SUM(B4:D4)</f>
        <v/>
      </c>
      <c r="F4" s="10" t="inlineStr"/>
    </row>
    <row r="5">
      <c r="A5" s="10" t="inlineStr">
        <is>
          <t>Software licences &amp; support</t>
        </is>
      </c>
      <c r="B5" s="15" t="n">
        <v>0</v>
      </c>
      <c r="C5" s="15" t="n">
        <v>0</v>
      </c>
      <c r="D5" s="15" t="n">
        <v>0</v>
      </c>
      <c r="E5" s="15">
        <f>SUM(B5:D5)</f>
        <v/>
      </c>
      <c r="F5" s="10" t="inlineStr"/>
    </row>
    <row r="6">
      <c r="A6" s="10" t="inlineStr">
        <is>
          <t>Operations staff (allocated)</t>
        </is>
      </c>
      <c r="B6" s="15" t="n">
        <v>0</v>
      </c>
      <c r="C6" s="15" t="n">
        <v>0</v>
      </c>
      <c r="D6" s="15" t="n">
        <v>0</v>
      </c>
      <c r="E6" s="15">
        <f>SUM(B6:D6)</f>
        <v/>
      </c>
      <c r="F6" s="10" t="inlineStr"/>
    </row>
    <row r="7">
      <c r="A7" s="10" t="inlineStr">
        <is>
          <t>Network / connectivity</t>
        </is>
      </c>
      <c r="B7" s="15" t="n">
        <v>0</v>
      </c>
      <c r="C7" s="15" t="n">
        <v>0</v>
      </c>
      <c r="D7" s="15" t="n">
        <v>0</v>
      </c>
      <c r="E7" s="15">
        <f>SUM(B7:D7)</f>
        <v/>
      </c>
      <c r="F7" s="10" t="inlineStr"/>
    </row>
    <row r="8">
      <c r="A8" s="10" t="inlineStr">
        <is>
          <t>DR site</t>
        </is>
      </c>
      <c r="B8" s="15" t="n">
        <v>0</v>
      </c>
      <c r="C8" s="15" t="n">
        <v>0</v>
      </c>
      <c r="D8" s="15" t="n">
        <v>0</v>
      </c>
      <c r="E8" s="15">
        <f>SUM(B8:D8)</f>
        <v/>
      </c>
      <c r="F8" s="10" t="inlineStr"/>
    </row>
    <row r="9">
      <c r="A9" s="16" t="inlineStr">
        <is>
          <t>On-premises total</t>
        </is>
      </c>
      <c r="B9" s="17">
        <f>SUM(B3:B8)</f>
        <v/>
      </c>
      <c r="C9" s="17">
        <f>SUM(C3:C8)</f>
        <v/>
      </c>
      <c r="D9" s="17">
        <f>SUM(D3:D8)</f>
        <v/>
      </c>
      <c r="E9" s="17">
        <f>SUM(E3:E8)</f>
        <v/>
      </c>
      <c r="F9" s="10" t="inlineStr"/>
    </row>
    <row r="10">
      <c r="A10" s="14" t="inlineStr">
        <is>
          <t>OCI TARGET</t>
        </is>
      </c>
      <c r="B10" s="15" t="n"/>
      <c r="C10" s="15" t="n"/>
      <c r="D10" s="15" t="n"/>
      <c r="E10" s="15" t="n"/>
      <c r="F10" s="10" t="inlineStr"/>
    </row>
    <row r="11">
      <c r="A11" s="10" t="inlineStr">
        <is>
          <t>Compute (after right-sizing)</t>
        </is>
      </c>
      <c r="B11" s="15" t="n">
        <v>0</v>
      </c>
      <c r="C11" s="15" t="n">
        <v>0</v>
      </c>
      <c r="D11" s="15" t="n">
        <v>0</v>
      </c>
      <c r="E11" s="15">
        <f>SUM(B11:D11)</f>
        <v/>
      </c>
      <c r="F11" s="10" t="inlineStr">
        <is>
          <t>Annual Universal Credits, BYOL, Oracle Support Rewards</t>
        </is>
      </c>
    </row>
    <row r="12">
      <c r="A12" s="10" t="inlineStr">
        <is>
          <t>Storage &amp; backup</t>
        </is>
      </c>
      <c r="B12" s="15" t="n">
        <v>0</v>
      </c>
      <c r="C12" s="15" t="n">
        <v>0</v>
      </c>
      <c r="D12" s="15" t="n">
        <v>0</v>
      </c>
      <c r="E12" s="15">
        <f>SUM(B12:D12)</f>
        <v/>
      </c>
      <c r="F12" s="10" t="inlineStr"/>
    </row>
    <row r="13">
      <c r="A13" s="10" t="inlineStr">
        <is>
          <t>Databases / PaaS</t>
        </is>
      </c>
      <c r="B13" s="15" t="n">
        <v>0</v>
      </c>
      <c r="C13" s="15" t="n">
        <v>0</v>
      </c>
      <c r="D13" s="15" t="n">
        <v>0</v>
      </c>
      <c r="E13" s="15">
        <f>SUM(B13:D13)</f>
        <v/>
      </c>
      <c r="F13" s="10" t="inlineStr"/>
    </row>
    <row r="14">
      <c r="A14" s="10" t="inlineStr">
        <is>
          <t>Network, egress, connectivity</t>
        </is>
      </c>
      <c r="B14" s="15" t="n">
        <v>0</v>
      </c>
      <c r="C14" s="15" t="n">
        <v>0</v>
      </c>
      <c r="D14" s="15" t="n">
        <v>0</v>
      </c>
      <c r="E14" s="15">
        <f>SUM(B14:D14)</f>
        <v/>
      </c>
      <c r="F14" s="10" t="inlineStr">
        <is>
          <t>OCI FastConnect + Site-to-Site VPN</t>
        </is>
      </c>
    </row>
    <row r="15">
      <c r="A15" s="10" t="inlineStr">
        <is>
          <t>Security &amp; monitoring services</t>
        </is>
      </c>
      <c r="B15" s="15" t="n">
        <v>0</v>
      </c>
      <c r="C15" s="15" t="n">
        <v>0</v>
      </c>
      <c r="D15" s="15" t="n">
        <v>0</v>
      </c>
      <c r="E15" s="15">
        <f>SUM(B15:D15)</f>
        <v/>
      </c>
      <c r="F15" s="10" t="inlineStr"/>
    </row>
    <row r="16">
      <c r="A16" s="10" t="inlineStr">
        <is>
          <t>Licences (BYOL / included)</t>
        </is>
      </c>
      <c r="B16" s="15" t="n">
        <v>0</v>
      </c>
      <c r="C16" s="15" t="n">
        <v>0</v>
      </c>
      <c r="D16" s="15" t="n">
        <v>0</v>
      </c>
      <c r="E16" s="15">
        <f>SUM(B16:D16)</f>
        <v/>
      </c>
      <c r="F16" s="10" t="inlineStr"/>
    </row>
    <row r="17">
      <c r="A17" s="10" t="inlineStr">
        <is>
          <t>Managed services</t>
        </is>
      </c>
      <c r="B17" s="15" t="n">
        <v>0</v>
      </c>
      <c r="C17" s="15" t="n">
        <v>0</v>
      </c>
      <c r="D17" s="15" t="n">
        <v>0</v>
      </c>
      <c r="E17" s="15">
        <f>SUM(B17:D17)</f>
        <v/>
      </c>
      <c r="F17" s="10" t="inlineStr"/>
    </row>
    <row r="18">
      <c r="A18" s="16" t="inlineStr">
        <is>
          <t>Cloud total (run-rate)</t>
        </is>
      </c>
      <c r="B18" s="17">
        <f>SUM(B11:B17)</f>
        <v/>
      </c>
      <c r="C18" s="17">
        <f>SUM(C11:C17)</f>
        <v/>
      </c>
      <c r="D18" s="17">
        <f>SUM(D11:D17)</f>
        <v/>
      </c>
      <c r="E18" s="17">
        <f>SUM(E11:E17)</f>
        <v/>
      </c>
      <c r="F18" s="10" t="inlineStr"/>
    </row>
    <row r="19">
      <c r="A19" s="14" t="inlineStr">
        <is>
          <t>ONE-TIME</t>
        </is>
      </c>
      <c r="B19" s="15" t="n"/>
      <c r="C19" s="15" t="n"/>
      <c r="D19" s="15" t="n"/>
      <c r="E19" s="15" t="n"/>
      <c r="F19" s="10" t="inlineStr"/>
    </row>
    <row r="20">
      <c r="A20" s="10" t="inlineStr">
        <is>
          <t>Migration services</t>
        </is>
      </c>
      <c r="B20" s="15" t="n">
        <v>0</v>
      </c>
      <c r="C20" s="15" t="n">
        <v>0</v>
      </c>
      <c r="D20" s="15" t="n">
        <v>0</v>
      </c>
      <c r="E20" s="15">
        <f>SUM(B20:D20)</f>
        <v/>
      </c>
      <c r="F20" s="10" t="inlineStr"/>
    </row>
    <row r="21">
      <c r="A21" s="10" t="inlineStr">
        <is>
          <t>Dual-running during migration</t>
        </is>
      </c>
      <c r="B21" s="15" t="n">
        <v>0</v>
      </c>
      <c r="C21" s="15" t="n">
        <v>0</v>
      </c>
      <c r="D21" s="15" t="n">
        <v>0</v>
      </c>
      <c r="E21" s="15">
        <f>SUM(B21:D21)</f>
        <v/>
      </c>
      <c r="F21" s="10" t="inlineStr"/>
    </row>
    <row r="22">
      <c r="A22" s="10" t="inlineStr">
        <is>
          <t>Vendor funding / credits (enter as negative)</t>
        </is>
      </c>
      <c r="B22" s="15" t="n">
        <v>0</v>
      </c>
      <c r="C22" s="15" t="n">
        <v>0</v>
      </c>
      <c r="D22" s="15" t="n">
        <v>0</v>
      </c>
      <c r="E22" s="15">
        <f>SUM(B22:D22)</f>
        <v/>
      </c>
      <c r="F22" s="10" t="inlineStr">
        <is>
          <t>Keep separate from run-rate</t>
        </is>
      </c>
    </row>
    <row r="23">
      <c r="A23" s="16" t="inlineStr">
        <is>
          <t>One-time total</t>
        </is>
      </c>
      <c r="B23" s="17">
        <f>SUM(B20:B22)</f>
        <v/>
      </c>
      <c r="C23" s="17">
        <f>SUM(C20:C22)</f>
        <v/>
      </c>
      <c r="D23" s="17">
        <f>SUM(D20:D22)</f>
        <v/>
      </c>
      <c r="E23" s="17">
        <f>SUM(E20:E22)</f>
        <v/>
      </c>
      <c r="F23" s="10" t="inlineStr"/>
    </row>
    <row r="24">
      <c r="A24" s="16" t="inlineStr">
        <is>
          <t>NET SAVING (on-prem − cloud − one-time)</t>
        </is>
      </c>
      <c r="B24" s="18">
        <f>B9-B18-B23</f>
        <v/>
      </c>
      <c r="C24" s="18">
        <f>C9-C18-C23</f>
        <v/>
      </c>
      <c r="D24" s="18">
        <f>D9-D18-D23</f>
        <v/>
      </c>
      <c r="E24" s="18">
        <f>E9-E18-E23</f>
        <v/>
      </c>
      <c r="F24" s="10" t="inlineStr"/>
    </row>
  </sheetData>
  <autoFilter ref="A1:F24"/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16" customWidth="1" min="8" max="8"/>
    <col width="16" customWidth="1" min="9" max="9"/>
    <col width="13" customWidth="1" min="10" max="10"/>
  </cols>
  <sheetData>
    <row r="1" ht="30" customHeight="1">
      <c r="A1" s="9" t="inlineStr">
        <is>
          <t>Wave</t>
        </is>
      </c>
      <c r="B1" s="9" t="inlineStr">
        <is>
          <t>Applications</t>
        </is>
      </c>
      <c r="C1" s="9" t="inlineStr">
        <is>
          <t>Servers</t>
        </is>
      </c>
      <c r="D1" s="9" t="inlineStr">
        <is>
          <t>Databases</t>
        </is>
      </c>
      <c r="E1" s="9" t="inlineStr">
        <is>
          <t>Start</t>
        </is>
      </c>
      <c r="F1" s="9" t="inlineStr">
        <is>
          <t>Cutover date</t>
        </is>
      </c>
      <c r="G1" s="9" t="inlineStr">
        <is>
          <t>Downtime window</t>
        </is>
      </c>
      <c r="H1" s="9" t="inlineStr">
        <is>
          <t>Rollback deadline</t>
        </is>
      </c>
      <c r="I1" s="9" t="inlineStr">
        <is>
          <t>Lead</t>
        </is>
      </c>
      <c r="J1" s="9" t="inlineStr">
        <is>
          <t>Status</t>
        </is>
      </c>
    </row>
    <row r="2">
      <c r="A2" s="10" t="inlineStr">
        <is>
          <t>W1 (pilot)</t>
        </is>
      </c>
      <c r="B2" s="10" t="inlineStr">
        <is>
          <t>Intranet, file share</t>
        </is>
      </c>
      <c r="C2" s="10" t="n">
        <v>4</v>
      </c>
      <c r="D2" s="10" t="n">
        <v>0</v>
      </c>
      <c r="E2" s="10" t="inlineStr"/>
      <c r="F2" s="10" t="inlineStr"/>
      <c r="G2" s="10" t="inlineStr">
        <is>
          <t>Sat 22:00–02:00</t>
        </is>
      </c>
      <c r="H2" s="10" t="inlineStr">
        <is>
          <t>Sun 01:00</t>
        </is>
      </c>
      <c r="I2" s="10" t="inlineStr"/>
      <c r="J2" s="10" t="inlineStr">
        <is>
          <t>Not started</t>
        </is>
      </c>
    </row>
    <row r="3">
      <c r="A3" s="10" t="inlineStr">
        <is>
          <t>W2</t>
        </is>
      </c>
      <c r="B3" s="10" t="inlineStr">
        <is>
          <t>Customer portal</t>
        </is>
      </c>
      <c r="C3" s="10" t="n">
        <v>6</v>
      </c>
      <c r="D3" s="10" t="n">
        <v>1</v>
      </c>
      <c r="E3" s="10" t="inlineStr"/>
      <c r="F3" s="10" t="inlineStr"/>
      <c r="G3" s="10" t="inlineStr">
        <is>
          <t>Sat 22:00–04:00</t>
        </is>
      </c>
      <c r="H3" s="10" t="inlineStr">
        <is>
          <t>Sun 02:00</t>
        </is>
      </c>
      <c r="I3" s="10" t="inlineStr"/>
      <c r="J3" s="10" t="inlineStr">
        <is>
          <t>Not started</t>
        </is>
      </c>
    </row>
  </sheetData>
  <autoFilter ref="A1:J3"/>
  <conditionalFormatting sqref="J2:J203">
    <cfRule type="cellIs" priority="1" operator="equal" dxfId="0">
      <formula>"Done"</formula>
    </cfRule>
    <cfRule type="cellIs" priority="2" operator="equal" dxfId="1">
      <formula>"Blocked"</formula>
    </cfRule>
    <cfRule type="cellIs" priority="3" operator="equal" dxfId="2">
      <formula>"In progress"</formula>
    </cfRule>
  </conditionalFormatting>
  <dataValidations count="1">
    <dataValidation sqref="J2:J203" showDropDown="0" showInputMessage="0" showErrorMessage="0" allowBlank="1" type="list">
      <formula1>"Not started,In progress,Done,Blocked,N/A"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CloudMigrate.in</dc:creator>
  <dc:title xmlns:dc="http://purl.org/dc/elements/1.1/">oci-discovery-assessment-workbook.xlsx</dc:title>
  <dcterms:created xmlns:dcterms="http://purl.org/dc/terms/" xmlns:xsi="http://www.w3.org/2001/XMLSchema-instance" xsi:type="dcterms:W3CDTF">2026-10-21T09:23:50Z</dcterms:created>
  <dcterms:modified xmlns:dcterms="http://purl.org/dc/terms/" xmlns:xsi="http://www.w3.org/2001/XMLSchema-instance" xsi:type="dcterms:W3CDTF">2026-10-21T09:23:50Z</dcterms:modified>
</cp:coreProperties>
</file>